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ndrea\Desktop\"/>
    </mc:Choice>
  </mc:AlternateContent>
  <xr:revisionPtr revIDLastSave="0" documentId="13_ncr:1_{1206BB6E-6470-4299-8844-D57404980194}" xr6:coauthVersionLast="47" xr6:coauthVersionMax="47" xr10:uidLastSave="{00000000-0000-0000-0000-000000000000}"/>
  <bookViews>
    <workbookView xWindow="-108" yWindow="-108" windowWidth="23256" windowHeight="12456" xr2:uid="{26F9D4F4-A265-4043-B930-FA98181B3A97}"/>
  </bookViews>
  <sheets>
    <sheet name="defects_coordinat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2" i="1" l="1"/>
  <c r="L82" i="1"/>
  <c r="R81" i="1"/>
  <c r="K81" i="1"/>
  <c r="M81" i="1" s="1"/>
  <c r="J81" i="1"/>
  <c r="L81" i="1" s="1"/>
  <c r="I81" i="1"/>
  <c r="H81" i="1"/>
  <c r="E81" i="1"/>
  <c r="D81" i="1"/>
  <c r="R80" i="1"/>
  <c r="K80" i="1"/>
  <c r="M80" i="1" s="1"/>
  <c r="J80" i="1"/>
  <c r="L80" i="1" s="1"/>
  <c r="I80" i="1"/>
  <c r="H80" i="1"/>
  <c r="E80" i="1"/>
  <c r="D80" i="1"/>
  <c r="R79" i="1"/>
  <c r="K79" i="1"/>
  <c r="M79" i="1" s="1"/>
  <c r="J79" i="1"/>
  <c r="L79" i="1" s="1"/>
  <c r="I79" i="1"/>
  <c r="H79" i="1"/>
  <c r="E79" i="1"/>
  <c r="D79" i="1"/>
  <c r="R78" i="1"/>
  <c r="K78" i="1"/>
  <c r="M78" i="1" s="1"/>
  <c r="J78" i="1"/>
  <c r="L78" i="1" s="1"/>
  <c r="I78" i="1"/>
  <c r="H78" i="1"/>
  <c r="E78" i="1"/>
  <c r="D78" i="1"/>
  <c r="R77" i="1"/>
  <c r="K77" i="1"/>
  <c r="M77" i="1" s="1"/>
  <c r="J77" i="1"/>
  <c r="L77" i="1" s="1"/>
  <c r="I77" i="1"/>
  <c r="H77" i="1"/>
  <c r="E77" i="1"/>
  <c r="D77" i="1"/>
  <c r="R76" i="1"/>
  <c r="K76" i="1"/>
  <c r="M76" i="1" s="1"/>
  <c r="J76" i="1"/>
  <c r="L76" i="1" s="1"/>
  <c r="I76" i="1"/>
  <c r="H76" i="1"/>
  <c r="E76" i="1"/>
  <c r="D76" i="1"/>
  <c r="R75" i="1"/>
  <c r="K75" i="1"/>
  <c r="M75" i="1" s="1"/>
  <c r="J75" i="1"/>
  <c r="L75" i="1" s="1"/>
  <c r="I75" i="1"/>
  <c r="H75" i="1"/>
  <c r="E75" i="1"/>
  <c r="D75" i="1"/>
  <c r="R74" i="1"/>
  <c r="K74" i="1"/>
  <c r="M74" i="1" s="1"/>
  <c r="J74" i="1"/>
  <c r="L74" i="1" s="1"/>
  <c r="I74" i="1"/>
  <c r="H74" i="1"/>
  <c r="E74" i="1"/>
  <c r="D74" i="1"/>
  <c r="R73" i="1"/>
  <c r="K73" i="1"/>
  <c r="M73" i="1" s="1"/>
  <c r="J73" i="1"/>
  <c r="L73" i="1" s="1"/>
  <c r="I73" i="1"/>
  <c r="H73" i="1"/>
  <c r="E73" i="1"/>
  <c r="D73" i="1"/>
  <c r="R72" i="1"/>
  <c r="L72" i="1"/>
  <c r="K72" i="1"/>
  <c r="M72" i="1" s="1"/>
  <c r="J72" i="1"/>
  <c r="I72" i="1"/>
  <c r="H72" i="1"/>
  <c r="E72" i="1"/>
  <c r="D72" i="1"/>
  <c r="R71" i="1"/>
  <c r="K71" i="1"/>
  <c r="M71" i="1" s="1"/>
  <c r="J71" i="1"/>
  <c r="L71" i="1" s="1"/>
  <c r="I71" i="1"/>
  <c r="H71" i="1"/>
  <c r="E71" i="1"/>
  <c r="D71" i="1"/>
  <c r="R70" i="1"/>
  <c r="K70" i="1"/>
  <c r="M70" i="1" s="1"/>
  <c r="J70" i="1"/>
  <c r="L70" i="1" s="1"/>
  <c r="I70" i="1"/>
  <c r="H70" i="1"/>
  <c r="E70" i="1"/>
  <c r="D70" i="1"/>
  <c r="R69" i="1"/>
  <c r="K69" i="1"/>
  <c r="M69" i="1" s="1"/>
  <c r="J69" i="1"/>
  <c r="L69" i="1" s="1"/>
  <c r="I69" i="1"/>
  <c r="H69" i="1"/>
  <c r="E69" i="1"/>
  <c r="D69" i="1"/>
  <c r="R68" i="1"/>
  <c r="K68" i="1"/>
  <c r="M68" i="1" s="1"/>
  <c r="J68" i="1"/>
  <c r="L68" i="1" s="1"/>
  <c r="I68" i="1"/>
  <c r="H68" i="1"/>
  <c r="E68" i="1"/>
  <c r="D68" i="1"/>
  <c r="R67" i="1"/>
  <c r="K67" i="1"/>
  <c r="M67" i="1" s="1"/>
  <c r="J67" i="1"/>
  <c r="L67" i="1" s="1"/>
  <c r="I67" i="1"/>
  <c r="H67" i="1"/>
  <c r="E67" i="1"/>
  <c r="D67" i="1"/>
  <c r="R66" i="1"/>
  <c r="L66" i="1"/>
  <c r="K66" i="1"/>
  <c r="M66" i="1" s="1"/>
  <c r="J66" i="1"/>
  <c r="I66" i="1"/>
  <c r="H66" i="1"/>
  <c r="E66" i="1"/>
  <c r="D66" i="1"/>
  <c r="R65" i="1"/>
  <c r="K65" i="1"/>
  <c r="M65" i="1" s="1"/>
  <c r="J65" i="1"/>
  <c r="L65" i="1" s="1"/>
  <c r="I65" i="1"/>
  <c r="H65" i="1"/>
  <c r="E65" i="1"/>
  <c r="D65" i="1"/>
  <c r="R64" i="1"/>
  <c r="K64" i="1"/>
  <c r="M64" i="1" s="1"/>
  <c r="J64" i="1"/>
  <c r="L64" i="1" s="1"/>
  <c r="I64" i="1"/>
  <c r="H64" i="1"/>
  <c r="E64" i="1"/>
  <c r="D64" i="1"/>
  <c r="M63" i="1"/>
  <c r="L63" i="1"/>
  <c r="I50" i="1"/>
  <c r="H50" i="1"/>
  <c r="I30" i="1"/>
  <c r="H30" i="1"/>
  <c r="M62" i="1"/>
  <c r="L62" i="1"/>
  <c r="R61" i="1"/>
  <c r="K61" i="1"/>
  <c r="M61" i="1" s="1"/>
  <c r="J61" i="1"/>
  <c r="L61" i="1" s="1"/>
  <c r="I61" i="1"/>
  <c r="H61" i="1"/>
  <c r="E61" i="1"/>
  <c r="D61" i="1"/>
  <c r="R60" i="1"/>
  <c r="K60" i="1"/>
  <c r="M60" i="1" s="1"/>
  <c r="J60" i="1"/>
  <c r="L60" i="1" s="1"/>
  <c r="I60" i="1"/>
  <c r="H60" i="1"/>
  <c r="E60" i="1"/>
  <c r="D60" i="1"/>
  <c r="R59" i="1"/>
  <c r="K59" i="1"/>
  <c r="M59" i="1" s="1"/>
  <c r="J59" i="1"/>
  <c r="L59" i="1" s="1"/>
  <c r="I59" i="1"/>
  <c r="H59" i="1"/>
  <c r="E59" i="1"/>
  <c r="D59" i="1"/>
  <c r="R58" i="1"/>
  <c r="K58" i="1"/>
  <c r="M58" i="1" s="1"/>
  <c r="J58" i="1"/>
  <c r="L58" i="1" s="1"/>
  <c r="I58" i="1"/>
  <c r="H58" i="1"/>
  <c r="E58" i="1"/>
  <c r="D58" i="1"/>
  <c r="R57" i="1"/>
  <c r="K57" i="1"/>
  <c r="M57" i="1" s="1"/>
  <c r="J57" i="1"/>
  <c r="L57" i="1" s="1"/>
  <c r="I57" i="1"/>
  <c r="H57" i="1"/>
  <c r="E57" i="1"/>
  <c r="D57" i="1"/>
  <c r="R56" i="1"/>
  <c r="K56" i="1"/>
  <c r="M56" i="1" s="1"/>
  <c r="J56" i="1"/>
  <c r="L56" i="1" s="1"/>
  <c r="I56" i="1"/>
  <c r="H56" i="1"/>
  <c r="E56" i="1"/>
  <c r="D56" i="1"/>
  <c r="R55" i="1"/>
  <c r="K55" i="1"/>
  <c r="M55" i="1" s="1"/>
  <c r="J55" i="1"/>
  <c r="L55" i="1" s="1"/>
  <c r="I55" i="1"/>
  <c r="H55" i="1"/>
  <c r="E55" i="1"/>
  <c r="D55" i="1"/>
  <c r="R54" i="1"/>
  <c r="K54" i="1"/>
  <c r="M54" i="1" s="1"/>
  <c r="J54" i="1"/>
  <c r="L54" i="1" s="1"/>
  <c r="I54" i="1"/>
  <c r="H54" i="1"/>
  <c r="E54" i="1"/>
  <c r="D54" i="1"/>
  <c r="R53" i="1"/>
  <c r="K53" i="1"/>
  <c r="M53" i="1" s="1"/>
  <c r="J53" i="1"/>
  <c r="L53" i="1" s="1"/>
  <c r="I53" i="1"/>
  <c r="H53" i="1"/>
  <c r="E53" i="1"/>
  <c r="D53" i="1"/>
  <c r="R52" i="1"/>
  <c r="K52" i="1"/>
  <c r="M52" i="1" s="1"/>
  <c r="J52" i="1"/>
  <c r="L52" i="1" s="1"/>
  <c r="I52" i="1"/>
  <c r="H52" i="1"/>
  <c r="E52" i="1"/>
  <c r="D52" i="1"/>
  <c r="R51" i="1"/>
  <c r="K51" i="1"/>
  <c r="M51" i="1" s="1"/>
  <c r="J51" i="1"/>
  <c r="L51" i="1" s="1"/>
  <c r="I51" i="1"/>
  <c r="H51" i="1"/>
  <c r="E51" i="1"/>
  <c r="D51" i="1"/>
  <c r="R50" i="1"/>
  <c r="K50" i="1"/>
  <c r="M50" i="1" s="1"/>
  <c r="J50" i="1"/>
  <c r="L50" i="1" s="1"/>
  <c r="E50" i="1"/>
  <c r="D50" i="1"/>
  <c r="R49" i="1"/>
  <c r="K49" i="1"/>
  <c r="M49" i="1" s="1"/>
  <c r="J49" i="1"/>
  <c r="L49" i="1" s="1"/>
  <c r="I49" i="1"/>
  <c r="H49" i="1"/>
  <c r="E49" i="1"/>
  <c r="D49" i="1"/>
  <c r="R48" i="1"/>
  <c r="K48" i="1"/>
  <c r="M48" i="1" s="1"/>
  <c r="J48" i="1"/>
  <c r="L48" i="1" s="1"/>
  <c r="I48" i="1"/>
  <c r="H48" i="1"/>
  <c r="E48" i="1"/>
  <c r="D48" i="1"/>
  <c r="R47" i="1"/>
  <c r="K47" i="1"/>
  <c r="M47" i="1" s="1"/>
  <c r="J47" i="1"/>
  <c r="L47" i="1" s="1"/>
  <c r="I47" i="1"/>
  <c r="H47" i="1"/>
  <c r="E47" i="1"/>
  <c r="D47" i="1"/>
  <c r="R46" i="1"/>
  <c r="K46" i="1"/>
  <c r="M46" i="1" s="1"/>
  <c r="J46" i="1"/>
  <c r="L46" i="1" s="1"/>
  <c r="I46" i="1"/>
  <c r="H46" i="1"/>
  <c r="E46" i="1"/>
  <c r="D46" i="1"/>
  <c r="R45" i="1"/>
  <c r="K45" i="1"/>
  <c r="M45" i="1" s="1"/>
  <c r="J45" i="1"/>
  <c r="L45" i="1" s="1"/>
  <c r="I45" i="1"/>
  <c r="H45" i="1"/>
  <c r="E45" i="1"/>
  <c r="D45" i="1"/>
  <c r="R44" i="1"/>
  <c r="K44" i="1"/>
  <c r="M44" i="1" s="1"/>
  <c r="J44" i="1"/>
  <c r="L44" i="1" s="1"/>
  <c r="I44" i="1"/>
  <c r="H44" i="1"/>
  <c r="E44" i="1"/>
  <c r="D44" i="1"/>
  <c r="M43" i="1"/>
  <c r="L43" i="1"/>
  <c r="R24" i="1"/>
  <c r="R25" i="1"/>
  <c r="R26" i="1"/>
  <c r="R27" i="1"/>
  <c r="R28" i="1"/>
  <c r="M42" i="1"/>
  <c r="L42" i="1"/>
  <c r="R41" i="1"/>
  <c r="K41" i="1"/>
  <c r="M41" i="1" s="1"/>
  <c r="J41" i="1"/>
  <c r="L41" i="1" s="1"/>
  <c r="I41" i="1"/>
  <c r="H41" i="1"/>
  <c r="E41" i="1"/>
  <c r="D41" i="1"/>
  <c r="R40" i="1"/>
  <c r="K40" i="1"/>
  <c r="M40" i="1" s="1"/>
  <c r="J40" i="1"/>
  <c r="L40" i="1" s="1"/>
  <c r="I40" i="1"/>
  <c r="H40" i="1"/>
  <c r="E40" i="1"/>
  <c r="D40" i="1"/>
  <c r="R39" i="1"/>
  <c r="K39" i="1"/>
  <c r="M39" i="1" s="1"/>
  <c r="J39" i="1"/>
  <c r="L39" i="1" s="1"/>
  <c r="I39" i="1"/>
  <c r="H39" i="1"/>
  <c r="E39" i="1"/>
  <c r="D39" i="1"/>
  <c r="R38" i="1"/>
  <c r="K38" i="1"/>
  <c r="M38" i="1" s="1"/>
  <c r="J38" i="1"/>
  <c r="L38" i="1" s="1"/>
  <c r="I38" i="1"/>
  <c r="H38" i="1"/>
  <c r="E38" i="1"/>
  <c r="D38" i="1"/>
  <c r="R37" i="1"/>
  <c r="K37" i="1"/>
  <c r="M37" i="1" s="1"/>
  <c r="J37" i="1"/>
  <c r="L37" i="1" s="1"/>
  <c r="I37" i="1"/>
  <c r="H37" i="1"/>
  <c r="E37" i="1"/>
  <c r="D37" i="1"/>
  <c r="R36" i="1"/>
  <c r="K36" i="1"/>
  <c r="M36" i="1" s="1"/>
  <c r="J36" i="1"/>
  <c r="L36" i="1" s="1"/>
  <c r="I36" i="1"/>
  <c r="H36" i="1"/>
  <c r="E36" i="1"/>
  <c r="D36" i="1"/>
  <c r="R35" i="1"/>
  <c r="K35" i="1"/>
  <c r="M35" i="1" s="1"/>
  <c r="J35" i="1"/>
  <c r="L35" i="1" s="1"/>
  <c r="I35" i="1"/>
  <c r="H35" i="1"/>
  <c r="E35" i="1"/>
  <c r="D35" i="1"/>
  <c r="R34" i="1"/>
  <c r="K34" i="1"/>
  <c r="M34" i="1" s="1"/>
  <c r="J34" i="1"/>
  <c r="L34" i="1" s="1"/>
  <c r="I34" i="1"/>
  <c r="H34" i="1"/>
  <c r="E34" i="1"/>
  <c r="D34" i="1"/>
  <c r="R33" i="1"/>
  <c r="K33" i="1"/>
  <c r="M33" i="1" s="1"/>
  <c r="J33" i="1"/>
  <c r="L33" i="1" s="1"/>
  <c r="I33" i="1"/>
  <c r="H33" i="1"/>
  <c r="E33" i="1"/>
  <c r="D33" i="1"/>
  <c r="R32" i="1"/>
  <c r="K32" i="1"/>
  <c r="M32" i="1" s="1"/>
  <c r="J32" i="1"/>
  <c r="L32" i="1" s="1"/>
  <c r="I32" i="1"/>
  <c r="H32" i="1"/>
  <c r="E32" i="1"/>
  <c r="D32" i="1"/>
  <c r="R31" i="1"/>
  <c r="K31" i="1"/>
  <c r="M31" i="1" s="1"/>
  <c r="J31" i="1"/>
  <c r="L31" i="1" s="1"/>
  <c r="I31" i="1"/>
  <c r="H31" i="1"/>
  <c r="E31" i="1"/>
  <c r="D31" i="1"/>
  <c r="R30" i="1"/>
  <c r="K30" i="1"/>
  <c r="M30" i="1" s="1"/>
  <c r="J30" i="1"/>
  <c r="L30" i="1" s="1"/>
  <c r="E30" i="1"/>
  <c r="D30" i="1"/>
  <c r="R29" i="1"/>
  <c r="K29" i="1"/>
  <c r="M29" i="1" s="1"/>
  <c r="J29" i="1"/>
  <c r="L29" i="1" s="1"/>
  <c r="I29" i="1"/>
  <c r="H29" i="1"/>
  <c r="E29" i="1"/>
  <c r="D29" i="1"/>
  <c r="K28" i="1"/>
  <c r="M28" i="1" s="1"/>
  <c r="J28" i="1"/>
  <c r="L28" i="1" s="1"/>
  <c r="I28" i="1"/>
  <c r="H28" i="1"/>
  <c r="E28" i="1"/>
  <c r="D28" i="1"/>
  <c r="K27" i="1"/>
  <c r="M27" i="1" s="1"/>
  <c r="J27" i="1"/>
  <c r="L27" i="1" s="1"/>
  <c r="I27" i="1"/>
  <c r="H27" i="1"/>
  <c r="E27" i="1"/>
  <c r="D27" i="1"/>
  <c r="K26" i="1"/>
  <c r="M26" i="1" s="1"/>
  <c r="J26" i="1"/>
  <c r="L26" i="1" s="1"/>
  <c r="I26" i="1"/>
  <c r="H26" i="1"/>
  <c r="E26" i="1"/>
  <c r="D26" i="1"/>
  <c r="K25" i="1"/>
  <c r="M25" i="1" s="1"/>
  <c r="J25" i="1"/>
  <c r="L25" i="1" s="1"/>
  <c r="I25" i="1"/>
  <c r="H25" i="1"/>
  <c r="E25" i="1"/>
  <c r="D25" i="1"/>
  <c r="K24" i="1"/>
  <c r="M24" i="1" s="1"/>
  <c r="J24" i="1"/>
  <c r="L24" i="1" s="1"/>
  <c r="I24" i="1"/>
  <c r="H24" i="1"/>
  <c r="E24" i="1"/>
  <c r="D24" i="1"/>
  <c r="M23" i="1"/>
  <c r="L23" i="1"/>
  <c r="M110" i="1"/>
  <c r="L110" i="1"/>
  <c r="R109" i="1"/>
  <c r="K109" i="1"/>
  <c r="M109" i="1" s="1"/>
  <c r="J109" i="1"/>
  <c r="L109" i="1" s="1"/>
  <c r="I109" i="1"/>
  <c r="H109" i="1"/>
  <c r="G109" i="1"/>
  <c r="F109" i="1"/>
  <c r="E109" i="1" s="1"/>
  <c r="D109" i="1"/>
  <c r="R108" i="1"/>
  <c r="K108" i="1"/>
  <c r="M108" i="1" s="1"/>
  <c r="J108" i="1"/>
  <c r="L108" i="1" s="1"/>
  <c r="I108" i="1"/>
  <c r="H108" i="1"/>
  <c r="G108" i="1"/>
  <c r="F108" i="1"/>
  <c r="E108" i="1" s="1"/>
  <c r="D108" i="1"/>
  <c r="R107" i="1"/>
  <c r="K107" i="1"/>
  <c r="M107" i="1" s="1"/>
  <c r="J107" i="1"/>
  <c r="L107" i="1" s="1"/>
  <c r="I107" i="1"/>
  <c r="H107" i="1"/>
  <c r="G107" i="1"/>
  <c r="F107" i="1"/>
  <c r="E107" i="1" s="1"/>
  <c r="D107" i="1"/>
  <c r="R106" i="1"/>
  <c r="K106" i="1"/>
  <c r="M106" i="1" s="1"/>
  <c r="J106" i="1"/>
  <c r="L106" i="1" s="1"/>
  <c r="I106" i="1"/>
  <c r="H106" i="1"/>
  <c r="G106" i="1"/>
  <c r="F106" i="1"/>
  <c r="E106" i="1" s="1"/>
  <c r="D106" i="1"/>
  <c r="R105" i="1"/>
  <c r="K105" i="1"/>
  <c r="M105" i="1" s="1"/>
  <c r="J105" i="1"/>
  <c r="L105" i="1" s="1"/>
  <c r="I105" i="1"/>
  <c r="H105" i="1"/>
  <c r="G105" i="1"/>
  <c r="F105" i="1"/>
  <c r="E105" i="1" s="1"/>
  <c r="D105" i="1"/>
  <c r="R104" i="1"/>
  <c r="K104" i="1"/>
  <c r="M104" i="1" s="1"/>
  <c r="J104" i="1"/>
  <c r="L104" i="1" s="1"/>
  <c r="I104" i="1"/>
  <c r="H104" i="1"/>
  <c r="G104" i="1"/>
  <c r="F104" i="1"/>
  <c r="E104" i="1" s="1"/>
  <c r="D104" i="1"/>
  <c r="R103" i="1"/>
  <c r="K103" i="1"/>
  <c r="M103" i="1" s="1"/>
  <c r="J103" i="1"/>
  <c r="L103" i="1" s="1"/>
  <c r="I103" i="1"/>
  <c r="H103" i="1"/>
  <c r="G103" i="1"/>
  <c r="F103" i="1"/>
  <c r="E103" i="1" s="1"/>
  <c r="D103" i="1"/>
  <c r="R102" i="1"/>
  <c r="K102" i="1"/>
  <c r="M102" i="1" s="1"/>
  <c r="J102" i="1"/>
  <c r="L102" i="1" s="1"/>
  <c r="I102" i="1"/>
  <c r="H102" i="1"/>
  <c r="G102" i="1"/>
  <c r="F102" i="1"/>
  <c r="E102" i="1" s="1"/>
  <c r="D102" i="1"/>
  <c r="R101" i="1"/>
  <c r="K101" i="1"/>
  <c r="M101" i="1" s="1"/>
  <c r="J101" i="1"/>
  <c r="L101" i="1" s="1"/>
  <c r="I101" i="1"/>
  <c r="H101" i="1"/>
  <c r="G101" i="1"/>
  <c r="F101" i="1"/>
  <c r="E101" i="1" s="1"/>
  <c r="D101" i="1"/>
  <c r="R100" i="1"/>
  <c r="K100" i="1"/>
  <c r="M100" i="1" s="1"/>
  <c r="J100" i="1"/>
  <c r="L100" i="1" s="1"/>
  <c r="I100" i="1"/>
  <c r="H100" i="1"/>
  <c r="G100" i="1"/>
  <c r="F100" i="1"/>
  <c r="E100" i="1" s="1"/>
  <c r="D100" i="1"/>
  <c r="R99" i="1"/>
  <c r="K99" i="1"/>
  <c r="M99" i="1" s="1"/>
  <c r="J99" i="1"/>
  <c r="L99" i="1" s="1"/>
  <c r="I99" i="1"/>
  <c r="H99" i="1"/>
  <c r="G99" i="1"/>
  <c r="F99" i="1"/>
  <c r="E99" i="1" s="1"/>
  <c r="D99" i="1"/>
  <c r="R98" i="1"/>
  <c r="K98" i="1"/>
  <c r="M98" i="1" s="1"/>
  <c r="J98" i="1"/>
  <c r="L98" i="1" s="1"/>
  <c r="I98" i="1"/>
  <c r="H98" i="1"/>
  <c r="G98" i="1"/>
  <c r="F98" i="1"/>
  <c r="E98" i="1" s="1"/>
  <c r="D98" i="1"/>
  <c r="M97" i="1"/>
  <c r="L97" i="1"/>
  <c r="M96" i="1"/>
  <c r="L96" i="1"/>
  <c r="R95" i="1"/>
  <c r="K95" i="1"/>
  <c r="M95" i="1" s="1"/>
  <c r="J95" i="1"/>
  <c r="L95" i="1" s="1"/>
  <c r="I95" i="1"/>
  <c r="H95" i="1"/>
  <c r="E95" i="1"/>
  <c r="D95" i="1"/>
  <c r="R94" i="1"/>
  <c r="K94" i="1"/>
  <c r="M94" i="1" s="1"/>
  <c r="J94" i="1"/>
  <c r="L94" i="1" s="1"/>
  <c r="I94" i="1"/>
  <c r="H94" i="1"/>
  <c r="E94" i="1"/>
  <c r="D94" i="1"/>
  <c r="R93" i="1"/>
  <c r="K93" i="1"/>
  <c r="M93" i="1" s="1"/>
  <c r="J93" i="1"/>
  <c r="L93" i="1" s="1"/>
  <c r="I93" i="1"/>
  <c r="H93" i="1"/>
  <c r="E93" i="1"/>
  <c r="D93" i="1"/>
  <c r="R92" i="1"/>
  <c r="K92" i="1"/>
  <c r="M92" i="1" s="1"/>
  <c r="J92" i="1"/>
  <c r="L92" i="1" s="1"/>
  <c r="I92" i="1"/>
  <c r="H92" i="1"/>
  <c r="E92" i="1"/>
  <c r="D92" i="1"/>
  <c r="R91" i="1"/>
  <c r="K91" i="1"/>
  <c r="M91" i="1" s="1"/>
  <c r="J91" i="1"/>
  <c r="L91" i="1" s="1"/>
  <c r="I91" i="1"/>
  <c r="H91" i="1"/>
  <c r="E91" i="1"/>
  <c r="D91" i="1"/>
  <c r="R90" i="1"/>
  <c r="K90" i="1"/>
  <c r="M90" i="1" s="1"/>
  <c r="J90" i="1"/>
  <c r="L90" i="1" s="1"/>
  <c r="I90" i="1"/>
  <c r="H90" i="1"/>
  <c r="E90" i="1"/>
  <c r="D90" i="1"/>
  <c r="R89" i="1"/>
  <c r="K89" i="1"/>
  <c r="M89" i="1" s="1"/>
  <c r="J89" i="1"/>
  <c r="L89" i="1" s="1"/>
  <c r="I89" i="1"/>
  <c r="H89" i="1"/>
  <c r="E89" i="1"/>
  <c r="D89" i="1"/>
  <c r="R88" i="1"/>
  <c r="K88" i="1"/>
  <c r="M88" i="1" s="1"/>
  <c r="J88" i="1"/>
  <c r="L88" i="1" s="1"/>
  <c r="I88" i="1"/>
  <c r="H88" i="1"/>
  <c r="E88" i="1"/>
  <c r="D88" i="1"/>
  <c r="R87" i="1"/>
  <c r="K87" i="1"/>
  <c r="M87" i="1" s="1"/>
  <c r="J87" i="1"/>
  <c r="L87" i="1" s="1"/>
  <c r="I87" i="1"/>
  <c r="H87" i="1"/>
  <c r="E87" i="1"/>
  <c r="D87" i="1"/>
  <c r="R86" i="1"/>
  <c r="K86" i="1"/>
  <c r="M86" i="1" s="1"/>
  <c r="J86" i="1"/>
  <c r="L86" i="1" s="1"/>
  <c r="I86" i="1"/>
  <c r="H86" i="1"/>
  <c r="E86" i="1"/>
  <c r="D86" i="1"/>
  <c r="R85" i="1"/>
  <c r="K85" i="1"/>
  <c r="M85" i="1" s="1"/>
  <c r="J85" i="1"/>
  <c r="L85" i="1" s="1"/>
  <c r="I85" i="1"/>
  <c r="H85" i="1"/>
  <c r="E85" i="1"/>
  <c r="D85" i="1"/>
  <c r="R84" i="1"/>
  <c r="K84" i="1"/>
  <c r="M84" i="1" s="1"/>
  <c r="J84" i="1"/>
  <c r="L84" i="1" s="1"/>
  <c r="I84" i="1"/>
  <c r="H84" i="1"/>
  <c r="E84" i="1"/>
  <c r="D84" i="1"/>
  <c r="M83" i="1"/>
  <c r="L83" i="1"/>
  <c r="M22" i="1"/>
  <c r="L22" i="1"/>
  <c r="R21" i="1"/>
  <c r="K21" i="1"/>
  <c r="M21" i="1" s="1"/>
  <c r="J21" i="1"/>
  <c r="L21" i="1" s="1"/>
  <c r="I21" i="1"/>
  <c r="H21" i="1"/>
  <c r="E21" i="1"/>
  <c r="D21" i="1"/>
  <c r="R20" i="1"/>
  <c r="K20" i="1"/>
  <c r="M20" i="1" s="1"/>
  <c r="J20" i="1"/>
  <c r="L20" i="1" s="1"/>
  <c r="I20" i="1"/>
  <c r="H20" i="1"/>
  <c r="E20" i="1"/>
  <c r="D20" i="1"/>
  <c r="R19" i="1"/>
  <c r="K19" i="1"/>
  <c r="M19" i="1" s="1"/>
  <c r="J19" i="1"/>
  <c r="L19" i="1" s="1"/>
  <c r="I19" i="1"/>
  <c r="H19" i="1"/>
  <c r="E19" i="1"/>
  <c r="D19" i="1"/>
  <c r="R18" i="1"/>
  <c r="K18" i="1"/>
  <c r="M18" i="1" s="1"/>
  <c r="J18" i="1"/>
  <c r="L18" i="1" s="1"/>
  <c r="I18" i="1"/>
  <c r="H18" i="1"/>
  <c r="E18" i="1"/>
  <c r="D18" i="1"/>
  <c r="R17" i="1"/>
  <c r="K17" i="1"/>
  <c r="M17" i="1" s="1"/>
  <c r="J17" i="1"/>
  <c r="L17" i="1" s="1"/>
  <c r="I17" i="1"/>
  <c r="H17" i="1"/>
  <c r="E17" i="1"/>
  <c r="D17" i="1"/>
  <c r="R16" i="1"/>
  <c r="K16" i="1"/>
  <c r="M16" i="1" s="1"/>
  <c r="J16" i="1"/>
  <c r="L16" i="1" s="1"/>
  <c r="I16" i="1"/>
  <c r="H16" i="1"/>
  <c r="E16" i="1"/>
  <c r="D16" i="1"/>
  <c r="R15" i="1"/>
  <c r="K15" i="1"/>
  <c r="M15" i="1" s="1"/>
  <c r="J15" i="1"/>
  <c r="L15" i="1" s="1"/>
  <c r="I15" i="1"/>
  <c r="H15" i="1"/>
  <c r="E15" i="1"/>
  <c r="D15" i="1"/>
  <c r="R14" i="1"/>
  <c r="K14" i="1"/>
  <c r="M14" i="1" s="1"/>
  <c r="J14" i="1"/>
  <c r="L14" i="1" s="1"/>
  <c r="I14" i="1"/>
  <c r="H14" i="1"/>
  <c r="E14" i="1"/>
  <c r="D14" i="1"/>
  <c r="R13" i="1"/>
  <c r="K13" i="1"/>
  <c r="M13" i="1" s="1"/>
  <c r="J13" i="1"/>
  <c r="L13" i="1" s="1"/>
  <c r="I13" i="1"/>
  <c r="H13" i="1"/>
  <c r="E13" i="1"/>
  <c r="D13" i="1"/>
  <c r="R12" i="1"/>
  <c r="K12" i="1"/>
  <c r="M12" i="1" s="1"/>
  <c r="J12" i="1"/>
  <c r="L12" i="1" s="1"/>
  <c r="I12" i="1"/>
  <c r="H12" i="1"/>
  <c r="E12" i="1"/>
  <c r="D12" i="1"/>
  <c r="R11" i="1"/>
  <c r="K11" i="1"/>
  <c r="M11" i="1" s="1"/>
  <c r="J11" i="1"/>
  <c r="L11" i="1" s="1"/>
  <c r="I11" i="1"/>
  <c r="H11" i="1"/>
  <c r="E11" i="1"/>
  <c r="D11" i="1"/>
  <c r="R10" i="1"/>
  <c r="K10" i="1"/>
  <c r="M10" i="1" s="1"/>
  <c r="J10" i="1"/>
  <c r="L10" i="1" s="1"/>
  <c r="I10" i="1"/>
  <c r="H10" i="1"/>
  <c r="E10" i="1"/>
  <c r="D10" i="1"/>
  <c r="R9" i="1"/>
  <c r="K9" i="1"/>
  <c r="M9" i="1" s="1"/>
  <c r="J9" i="1"/>
  <c r="L9" i="1" s="1"/>
  <c r="I9" i="1"/>
  <c r="H9" i="1"/>
  <c r="E9" i="1"/>
  <c r="D9" i="1"/>
  <c r="R8" i="1"/>
  <c r="K8" i="1"/>
  <c r="M8" i="1" s="1"/>
  <c r="J8" i="1"/>
  <c r="L8" i="1" s="1"/>
  <c r="I8" i="1"/>
  <c r="H8" i="1"/>
  <c r="E8" i="1"/>
  <c r="D8" i="1"/>
  <c r="R7" i="1"/>
  <c r="K7" i="1"/>
  <c r="M7" i="1" s="1"/>
  <c r="J7" i="1"/>
  <c r="L7" i="1" s="1"/>
  <c r="I7" i="1"/>
  <c r="H7" i="1"/>
  <c r="E7" i="1"/>
  <c r="D7" i="1"/>
  <c r="R6" i="1"/>
  <c r="K6" i="1"/>
  <c r="M6" i="1" s="1"/>
  <c r="J6" i="1"/>
  <c r="L6" i="1" s="1"/>
  <c r="I6" i="1"/>
  <c r="H6" i="1"/>
  <c r="E6" i="1"/>
  <c r="D6" i="1"/>
  <c r="R5" i="1"/>
  <c r="K5" i="1"/>
  <c r="M5" i="1" s="1"/>
  <c r="J5" i="1"/>
  <c r="L5" i="1" s="1"/>
  <c r="I5" i="1"/>
  <c r="H5" i="1"/>
  <c r="E5" i="1"/>
  <c r="D5" i="1"/>
  <c r="R4" i="1"/>
  <c r="K4" i="1"/>
  <c r="M4" i="1" s="1"/>
  <c r="J4" i="1"/>
  <c r="L4" i="1" s="1"/>
  <c r="I4" i="1"/>
  <c r="H4" i="1"/>
  <c r="E4" i="1"/>
  <c r="D4" i="1"/>
  <c r="M3" i="1"/>
  <c r="L3" i="1"/>
</calcChain>
</file>

<file path=xl/sharedStrings.xml><?xml version="1.0" encoding="utf-8"?>
<sst xmlns="http://schemas.openxmlformats.org/spreadsheetml/2006/main" count="220" uniqueCount="56">
  <si>
    <t>Sample ID</t>
  </si>
  <si>
    <t>Defect Type</t>
  </si>
  <si>
    <t>x_start¹ [mm]</t>
  </si>
  <si>
    <t>x_end¹ [mm]</t>
  </si>
  <si>
    <t>y_start¹ [mm]</t>
  </si>
  <si>
    <t>y_end¹ [mm]</t>
  </si>
  <si>
    <t>z_start¹ [mm]</t>
  </si>
  <si>
    <t>z_end¹ [mm]</t>
  </si>
  <si>
    <t>z_start² [mm]</t>
  </si>
  <si>
    <t>z_end² [mm]</t>
  </si>
  <si>
    <t>layer_start²</t>
  </si>
  <si>
    <t>layer_end²</t>
  </si>
  <si>
    <t>radius [mm]</t>
  </si>
  <si>
    <t>x_centre¹ [mm]</t>
  </si>
  <si>
    <t>y_centre¹ [mm]</t>
  </si>
  <si>
    <t>z_centre¹ [mm]</t>
  </si>
  <si>
    <t>z_centre² [mm]</t>
  </si>
  <si>
    <t>Porosity</t>
  </si>
  <si>
    <t>-</t>
  </si>
  <si>
    <t>C1_0.5</t>
  </si>
  <si>
    <t>C1_0.25</t>
  </si>
  <si>
    <t>C1_0.15</t>
  </si>
  <si>
    <t>S1_0.5</t>
  </si>
  <si>
    <t>S1_0.25</t>
  </si>
  <si>
    <t>S1_0.15</t>
  </si>
  <si>
    <t>C2_0.5</t>
  </si>
  <si>
    <t>C2_0.25</t>
  </si>
  <si>
    <t>C2_0.15</t>
  </si>
  <si>
    <t>S2_0.5</t>
  </si>
  <si>
    <t>S2_0.25</t>
  </si>
  <si>
    <t>S2_0.15</t>
  </si>
  <si>
    <t>C3_0.5</t>
  </si>
  <si>
    <t>C3_0.25</t>
  </si>
  <si>
    <t>C3_0.15</t>
  </si>
  <si>
    <t>S3_0.5</t>
  </si>
  <si>
    <t>S3_0.25</t>
  </si>
  <si>
    <t>S3_0.15</t>
  </si>
  <si>
    <t>D_Thinwall_3mm</t>
  </si>
  <si>
    <t>S4_0.5</t>
  </si>
  <si>
    <t>S4_0.25</t>
  </si>
  <si>
    <t>S4_0.15</t>
  </si>
  <si>
    <t>D_Thinwall_1mm</t>
  </si>
  <si>
    <t>C5_0.25</t>
  </si>
  <si>
    <t>C5_0.15</t>
  </si>
  <si>
    <t>S6_0.25</t>
  </si>
  <si>
    <t>S6_0.15</t>
  </si>
  <si>
    <t>Notes</t>
  </si>
  <si>
    <t xml:space="preserve"> The reported coordinates of the defect locations are expressed with respect to a reference system in which the origin (0,0,0) corresponds to the centre of the specimen</t>
  </si>
  <si>
    <t xml:space="preserve"> The reported coordinates of the defect locations are expressed with respect to a reference system whose origin (0,0,0) corresponds to the bottom surface of the specimen</t>
  </si>
  <si>
    <t>D_box_1</t>
  </si>
  <si>
    <t>D_box_2</t>
  </si>
  <si>
    <t>D_box_3</t>
  </si>
  <si>
    <t>D_box_4</t>
  </si>
  <si>
    <t>Spatter</t>
  </si>
  <si>
    <t xml:space="preserve">The geometries presented in the table correspond to those found in the first and second rows of builds across all build jobs. Four cuboids are listed, as each row contains four cuboids, each with a distinct configuration of defects to ensure </t>
  </si>
  <si>
    <t>randomization. The geometries used for the XCT scans are not reported here, as they corresponded to one of these configurations.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</si>
</sst>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2">
    <border>
      <left/>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8">
    <xf numFmtId="0" fontId="0" fillId="0" borderId="0" xfId="0"/>
    <xf numFmtId="0" fontId="1" fillId="2" borderId="1" xfId="0" applyFont="1" applyFill="1" applyBorder="1"/>
    <xf numFmtId="0" fontId="1" fillId="3" borderId="2" xfId="0" applyFont="1" applyFill="1" applyBorder="1"/>
    <xf numFmtId="0" fontId="1" fillId="2" borderId="2" xfId="0" applyFont="1" applyFill="1" applyBorder="1"/>
    <xf numFmtId="0" fontId="1" fillId="2" borderId="3" xfId="0" applyFont="1" applyFill="1" applyBorder="1"/>
    <xf numFmtId="0" fontId="1" fillId="3" borderId="3" xfId="0" applyFont="1" applyFill="1" applyBorder="1"/>
    <xf numFmtId="0" fontId="1" fillId="0" borderId="0" xfId="0" applyFont="1"/>
    <xf numFmtId="0" fontId="0" fillId="3" borderId="5" xfId="0" applyFill="1" applyBorder="1"/>
    <xf numFmtId="0" fontId="0" fillId="2" borderId="5" xfId="0" applyFill="1" applyBorder="1" applyAlignment="1">
      <alignment horizontal="center"/>
    </xf>
    <xf numFmtId="0" fontId="0" fillId="3" borderId="5" xfId="0" applyFill="1" applyBorder="1" applyAlignment="1">
      <alignment horizontal="center"/>
    </xf>
    <xf numFmtId="0" fontId="0" fillId="2" borderId="5" xfId="0" applyFill="1" applyBorder="1"/>
    <xf numFmtId="0" fontId="0" fillId="2" borderId="0" xfId="0" applyFill="1"/>
    <xf numFmtId="0" fontId="0" fillId="3" borderId="6" xfId="0" applyFill="1" applyBorder="1"/>
    <xf numFmtId="0" fontId="0" fillId="3" borderId="0" xfId="0" applyFill="1"/>
    <xf numFmtId="0" fontId="0" fillId="3" borderId="8" xfId="0" applyFill="1" applyBorder="1"/>
    <xf numFmtId="0" fontId="0" fillId="3" borderId="10" xfId="0" applyFill="1" applyBorder="1"/>
    <xf numFmtId="0" fontId="0" fillId="2" borderId="10" xfId="0" applyFill="1" applyBorder="1" applyAlignment="1">
      <alignment horizontal="center"/>
    </xf>
    <xf numFmtId="0" fontId="0" fillId="3" borderId="10" xfId="0" applyFill="1" applyBorder="1" applyAlignment="1">
      <alignment horizontal="center"/>
    </xf>
    <xf numFmtId="0" fontId="0" fillId="2" borderId="10" xfId="0" applyFill="1" applyBorder="1"/>
    <xf numFmtId="0" fontId="0" fillId="3" borderId="11" xfId="0" applyFill="1" applyBorder="1"/>
    <xf numFmtId="0" fontId="0" fillId="2" borderId="0" xfId="0" applyFill="1" applyAlignment="1">
      <alignment horizontal="center"/>
    </xf>
    <xf numFmtId="0" fontId="0" fillId="2" borderId="5" xfId="0" applyFill="1" applyBorder="1" applyAlignment="1">
      <alignment horizontal="right"/>
    </xf>
    <xf numFmtId="0" fontId="0" fillId="2" borderId="10" xfId="0" applyFill="1" applyBorder="1" applyAlignment="1">
      <alignment horizontal="right"/>
    </xf>
    <xf numFmtId="0" fontId="0" fillId="2" borderId="4" xfId="0" applyFill="1" applyBorder="1"/>
    <xf numFmtId="0" fontId="0" fillId="2" borderId="7" xfId="0" applyFill="1" applyBorder="1"/>
    <xf numFmtId="0" fontId="1" fillId="2" borderId="0" xfId="0" applyFont="1" applyFill="1"/>
    <xf numFmtId="0" fontId="0" fillId="2" borderId="9" xfId="0" applyFill="1" applyBorder="1"/>
    <xf numFmtId="0" fontId="0" fillId="2" borderId="11" xfId="0" applyFill="1" applyBorder="1"/>
    <xf numFmtId="0" fontId="0" fillId="0" borderId="2" xfId="0" applyBorder="1"/>
    <xf numFmtId="0" fontId="0" fillId="2" borderId="5" xfId="0" applyFill="1" applyBorder="1" applyAlignment="1">
      <alignment vertical="top"/>
    </xf>
    <xf numFmtId="0" fontId="0" fillId="2" borderId="6" xfId="0" applyFill="1" applyBorder="1" applyAlignment="1">
      <alignment vertical="top"/>
    </xf>
    <xf numFmtId="0" fontId="0" fillId="2" borderId="0" xfId="0" applyFill="1" applyAlignment="1">
      <alignment vertical="top"/>
    </xf>
    <xf numFmtId="0" fontId="0" fillId="2" borderId="8" xfId="0" applyFill="1" applyBorder="1" applyAlignment="1">
      <alignment vertical="top"/>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2" borderId="0" xfId="0" applyFill="1" applyAlignment="1">
      <alignment horizontal="left"/>
    </xf>
    <xf numFmtId="0" fontId="0" fillId="2" borderId="8" xfId="0" applyFill="1" applyBorder="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05FC-EA4B-4700-8440-DE0D64DD70EE}">
  <dimension ref="B1:S116"/>
  <sheetViews>
    <sheetView tabSelected="1" zoomScale="85" zoomScaleNormal="85" workbookViewId="0">
      <pane xSplit="3" ySplit="2" topLeftCell="D6" activePane="bottomRight" state="frozen"/>
      <selection pane="topRight" activeCell="D1" sqref="D1"/>
      <selection pane="bottomLeft" activeCell="A3" sqref="A3"/>
      <selection pane="bottomRight" activeCell="D118" sqref="D118"/>
    </sheetView>
  </sheetViews>
  <sheetFormatPr defaultColWidth="8.77734375" defaultRowHeight="14.4" x14ac:dyDescent="0.3"/>
  <cols>
    <col min="2" max="2" width="17.109375" bestFit="1" customWidth="1"/>
    <col min="3" max="3" width="12" bestFit="1" customWidth="1"/>
    <col min="4" max="4" width="13.44140625" bestFit="1" customWidth="1"/>
    <col min="5" max="5" width="12.44140625" bestFit="1" customWidth="1"/>
    <col min="6" max="6" width="13.44140625" bestFit="1" customWidth="1"/>
    <col min="7" max="7" width="12.44140625" bestFit="1" customWidth="1"/>
    <col min="8" max="8" width="13.44140625" bestFit="1" customWidth="1"/>
    <col min="9" max="9" width="12.44140625" bestFit="1" customWidth="1"/>
    <col min="10" max="10" width="13.44140625" bestFit="1" customWidth="1"/>
    <col min="11" max="11" width="12.44140625" bestFit="1" customWidth="1"/>
    <col min="12" max="12" width="11.44140625" bestFit="1" customWidth="1"/>
    <col min="13" max="13" width="10.6640625" bestFit="1" customWidth="1"/>
    <col min="14" max="14" width="12.33203125" bestFit="1" customWidth="1"/>
    <col min="15" max="18" width="15.33203125" bestFit="1" customWidth="1"/>
    <col min="19" max="19" width="14.44140625" customWidth="1"/>
    <col min="20" max="20" width="5.44140625" bestFit="1" customWidth="1"/>
  </cols>
  <sheetData>
    <row r="1" spans="2:19" ht="15" thickBot="1" x14ac:dyDescent="0.35"/>
    <row r="2" spans="2:19" ht="16.2" thickBot="1" x14ac:dyDescent="0.35">
      <c r="B2" s="1" t="s">
        <v>0</v>
      </c>
      <c r="C2" s="2" t="s">
        <v>1</v>
      </c>
      <c r="D2" s="3" t="s">
        <v>2</v>
      </c>
      <c r="E2" s="3" t="s">
        <v>3</v>
      </c>
      <c r="F2" s="2" t="s">
        <v>4</v>
      </c>
      <c r="G2" s="2" t="s">
        <v>5</v>
      </c>
      <c r="H2" s="3" t="s">
        <v>6</v>
      </c>
      <c r="I2" s="3" t="s">
        <v>7</v>
      </c>
      <c r="J2" s="2" t="s">
        <v>8</v>
      </c>
      <c r="K2" s="2" t="s">
        <v>9</v>
      </c>
      <c r="L2" s="3" t="s">
        <v>10</v>
      </c>
      <c r="M2" s="3" t="s">
        <v>11</v>
      </c>
      <c r="N2" s="2" t="s">
        <v>12</v>
      </c>
      <c r="O2" s="3" t="s">
        <v>13</v>
      </c>
      <c r="P2" s="2" t="s">
        <v>14</v>
      </c>
      <c r="Q2" s="4" t="s">
        <v>15</v>
      </c>
      <c r="R2" s="5" t="s">
        <v>16</v>
      </c>
      <c r="S2" s="6"/>
    </row>
    <row r="3" spans="2:19" x14ac:dyDescent="0.3">
      <c r="B3" s="33" t="s">
        <v>49</v>
      </c>
      <c r="C3" s="7" t="s">
        <v>17</v>
      </c>
      <c r="D3" s="8" t="s">
        <v>18</v>
      </c>
      <c r="E3" s="8" t="s">
        <v>18</v>
      </c>
      <c r="F3" s="9" t="s">
        <v>18</v>
      </c>
      <c r="G3" s="9" t="s">
        <v>18</v>
      </c>
      <c r="H3" s="10">
        <v>-13.675000000000001</v>
      </c>
      <c r="I3" s="10">
        <v>-11.175000000000001</v>
      </c>
      <c r="J3" s="7">
        <v>1</v>
      </c>
      <c r="K3" s="7">
        <v>3.5</v>
      </c>
      <c r="L3" s="11">
        <f>J3/0.05</f>
        <v>20</v>
      </c>
      <c r="M3" s="11">
        <f>K3/0.05</f>
        <v>70</v>
      </c>
      <c r="N3" s="9" t="s">
        <v>18</v>
      </c>
      <c r="O3" s="8" t="s">
        <v>18</v>
      </c>
      <c r="P3" s="9" t="s">
        <v>18</v>
      </c>
      <c r="Q3" s="10">
        <v>-12.425000000000001</v>
      </c>
      <c r="R3" s="12">
        <v>2.25</v>
      </c>
    </row>
    <row r="4" spans="2:19" x14ac:dyDescent="0.3">
      <c r="B4" s="34"/>
      <c r="C4" s="13" t="s">
        <v>19</v>
      </c>
      <c r="D4" s="11">
        <f>O4-N4</f>
        <v>2.9</v>
      </c>
      <c r="E4" s="11">
        <f>O4+N4</f>
        <v>3.9</v>
      </c>
      <c r="F4" s="13">
        <v>3</v>
      </c>
      <c r="G4" s="13">
        <v>-3</v>
      </c>
      <c r="H4" s="11">
        <f>Q4+N4</f>
        <v>-8.1750000000000007</v>
      </c>
      <c r="I4" s="11">
        <f>Q4-N4</f>
        <v>-9.1750000000000007</v>
      </c>
      <c r="J4" s="13">
        <f t="shared" ref="J4:J21" si="0">(Q4-N4)+(29.35/2)</f>
        <v>5.5</v>
      </c>
      <c r="K4" s="13">
        <f t="shared" ref="K4:K21" si="1">(Q4+N4)+(29.35/2)</f>
        <v>6.5</v>
      </c>
      <c r="L4" s="11">
        <f>J4/0.05</f>
        <v>110</v>
      </c>
      <c r="M4" s="11">
        <f>K4/0.05</f>
        <v>130</v>
      </c>
      <c r="N4" s="13">
        <v>0.5</v>
      </c>
      <c r="O4" s="11">
        <v>3.4</v>
      </c>
      <c r="P4" s="13">
        <v>0</v>
      </c>
      <c r="Q4" s="11">
        <v>-8.6750000000000007</v>
      </c>
      <c r="R4" s="14">
        <f>Q4+(29.35/2)</f>
        <v>6</v>
      </c>
    </row>
    <row r="5" spans="2:19" x14ac:dyDescent="0.3">
      <c r="B5" s="34"/>
      <c r="C5" s="13" t="s">
        <v>20</v>
      </c>
      <c r="D5" s="11">
        <f t="shared" ref="D5:D21" si="2">O5-N5</f>
        <v>1.6</v>
      </c>
      <c r="E5" s="11">
        <f t="shared" ref="E5:E21" si="3">O5+N5</f>
        <v>2.1</v>
      </c>
      <c r="F5" s="13">
        <v>3</v>
      </c>
      <c r="G5" s="13">
        <v>-3</v>
      </c>
      <c r="H5" s="11">
        <f t="shared" ref="H5:H12" si="4">Q5+N5</f>
        <v>-7.4749999999999996</v>
      </c>
      <c r="I5" s="11">
        <f t="shared" ref="I5:I12" si="5">Q5-N5</f>
        <v>-7.9749999999999996</v>
      </c>
      <c r="J5" s="13">
        <f t="shared" si="0"/>
        <v>6.7000000000000011</v>
      </c>
      <c r="K5" s="13">
        <f t="shared" si="1"/>
        <v>7.2000000000000011</v>
      </c>
      <c r="L5" s="11">
        <f t="shared" ref="L5:M21" si="6">J5/0.05</f>
        <v>134</v>
      </c>
      <c r="M5" s="11">
        <f t="shared" si="6"/>
        <v>144</v>
      </c>
      <c r="N5" s="13">
        <v>0.25</v>
      </c>
      <c r="O5" s="11">
        <v>1.85</v>
      </c>
      <c r="P5" s="13">
        <v>0</v>
      </c>
      <c r="Q5" s="11">
        <v>-7.7249999999999996</v>
      </c>
      <c r="R5" s="14">
        <f t="shared" ref="R5:R21" si="7">Q5+(29.35/2)</f>
        <v>6.9500000000000011</v>
      </c>
    </row>
    <row r="6" spans="2:19" x14ac:dyDescent="0.3">
      <c r="B6" s="34"/>
      <c r="C6" s="13" t="s">
        <v>21</v>
      </c>
      <c r="D6" s="11">
        <f t="shared" si="2"/>
        <v>0.6</v>
      </c>
      <c r="E6" s="11">
        <f t="shared" si="3"/>
        <v>0.9</v>
      </c>
      <c r="F6" s="13">
        <v>3</v>
      </c>
      <c r="G6" s="13">
        <v>-3</v>
      </c>
      <c r="H6" s="11">
        <f t="shared" si="4"/>
        <v>-6.9749999999999996</v>
      </c>
      <c r="I6" s="11">
        <f t="shared" si="5"/>
        <v>-7.2750000000000004</v>
      </c>
      <c r="J6" s="13">
        <f t="shared" si="0"/>
        <v>7.4</v>
      </c>
      <c r="K6" s="13">
        <f t="shared" si="1"/>
        <v>7.7000000000000011</v>
      </c>
      <c r="L6" s="11">
        <f t="shared" si="6"/>
        <v>148</v>
      </c>
      <c r="M6" s="11">
        <f t="shared" si="6"/>
        <v>154</v>
      </c>
      <c r="N6" s="13">
        <v>0.15</v>
      </c>
      <c r="O6" s="11">
        <v>0.75</v>
      </c>
      <c r="P6" s="13">
        <v>0</v>
      </c>
      <c r="Q6" s="11">
        <v>-7.125</v>
      </c>
      <c r="R6" s="14">
        <f t="shared" si="7"/>
        <v>7.5500000000000007</v>
      </c>
    </row>
    <row r="7" spans="2:19" x14ac:dyDescent="0.3">
      <c r="B7" s="34"/>
      <c r="C7" s="13" t="s">
        <v>22</v>
      </c>
      <c r="D7" s="11">
        <f t="shared" si="2"/>
        <v>-1.3</v>
      </c>
      <c r="E7" s="11">
        <f t="shared" si="3"/>
        <v>-0.30000000000000004</v>
      </c>
      <c r="F7" s="13">
        <v>0.5</v>
      </c>
      <c r="G7" s="13">
        <v>-0.5</v>
      </c>
      <c r="H7" s="11">
        <f t="shared" si="4"/>
        <v>-5.7750000000000004</v>
      </c>
      <c r="I7" s="11">
        <f t="shared" si="5"/>
        <v>-6.7750000000000004</v>
      </c>
      <c r="J7" s="13">
        <f t="shared" si="0"/>
        <v>7.9</v>
      </c>
      <c r="K7" s="13">
        <f t="shared" si="1"/>
        <v>8.9</v>
      </c>
      <c r="L7" s="11">
        <f t="shared" si="6"/>
        <v>158</v>
      </c>
      <c r="M7" s="11">
        <f t="shared" si="6"/>
        <v>178</v>
      </c>
      <c r="N7" s="13">
        <v>0.5</v>
      </c>
      <c r="O7" s="11">
        <v>-0.8</v>
      </c>
      <c r="P7" s="13">
        <v>0</v>
      </c>
      <c r="Q7" s="11">
        <v>-6.2750000000000004</v>
      </c>
      <c r="R7" s="14">
        <f t="shared" si="7"/>
        <v>8.4</v>
      </c>
    </row>
    <row r="8" spans="2:19" x14ac:dyDescent="0.3">
      <c r="B8" s="34"/>
      <c r="C8" s="13" t="s">
        <v>23</v>
      </c>
      <c r="D8" s="11">
        <f t="shared" si="2"/>
        <v>-2.6</v>
      </c>
      <c r="E8" s="11">
        <f t="shared" si="3"/>
        <v>-2.1</v>
      </c>
      <c r="F8" s="13">
        <v>0.25</v>
      </c>
      <c r="G8" s="13">
        <v>-0.25</v>
      </c>
      <c r="H8" s="11">
        <f t="shared" si="4"/>
        <v>-5.0750000000000002</v>
      </c>
      <c r="I8" s="11">
        <f t="shared" si="5"/>
        <v>-5.5750000000000002</v>
      </c>
      <c r="J8" s="13">
        <f t="shared" si="0"/>
        <v>9.1000000000000014</v>
      </c>
      <c r="K8" s="13">
        <f t="shared" si="1"/>
        <v>9.6000000000000014</v>
      </c>
      <c r="L8" s="11">
        <f t="shared" si="6"/>
        <v>182.00000000000003</v>
      </c>
      <c r="M8" s="11">
        <f t="shared" si="6"/>
        <v>192.00000000000003</v>
      </c>
      <c r="N8" s="13">
        <v>0.25</v>
      </c>
      <c r="O8" s="11">
        <v>-2.35</v>
      </c>
      <c r="P8" s="13">
        <v>0</v>
      </c>
      <c r="Q8" s="11">
        <v>-5.3250000000000002</v>
      </c>
      <c r="R8" s="14">
        <f t="shared" si="7"/>
        <v>9.3500000000000014</v>
      </c>
    </row>
    <row r="9" spans="2:19" x14ac:dyDescent="0.3">
      <c r="B9" s="34"/>
      <c r="C9" s="13" t="s">
        <v>24</v>
      </c>
      <c r="D9" s="11">
        <f t="shared" si="2"/>
        <v>-3.6999999999999997</v>
      </c>
      <c r="E9" s="11">
        <f t="shared" si="3"/>
        <v>-3.4</v>
      </c>
      <c r="F9" s="13">
        <v>0.15</v>
      </c>
      <c r="G9" s="13">
        <v>-0.15</v>
      </c>
      <c r="H9" s="11">
        <f t="shared" si="4"/>
        <v>-4.5749999999999993</v>
      </c>
      <c r="I9" s="11">
        <f t="shared" si="5"/>
        <v>-4.875</v>
      </c>
      <c r="J9" s="13">
        <f t="shared" si="0"/>
        <v>9.8000000000000007</v>
      </c>
      <c r="K9" s="13">
        <f t="shared" si="1"/>
        <v>10.100000000000001</v>
      </c>
      <c r="L9" s="11">
        <f t="shared" si="6"/>
        <v>196</v>
      </c>
      <c r="M9" s="11">
        <f t="shared" si="6"/>
        <v>202.00000000000003</v>
      </c>
      <c r="N9" s="13">
        <v>0.15</v>
      </c>
      <c r="O9" s="11">
        <v>-3.55</v>
      </c>
      <c r="P9" s="13">
        <v>0</v>
      </c>
      <c r="Q9" s="11">
        <v>-4.7249999999999996</v>
      </c>
      <c r="R9" s="14">
        <f t="shared" si="7"/>
        <v>9.9500000000000011</v>
      </c>
    </row>
    <row r="10" spans="2:19" x14ac:dyDescent="0.3">
      <c r="B10" s="34"/>
      <c r="C10" s="13" t="s">
        <v>25</v>
      </c>
      <c r="D10" s="11">
        <f t="shared" si="2"/>
        <v>2.9</v>
      </c>
      <c r="E10" s="11">
        <f t="shared" si="3"/>
        <v>3.9</v>
      </c>
      <c r="F10" s="13">
        <v>3</v>
      </c>
      <c r="G10" s="13">
        <v>-3</v>
      </c>
      <c r="H10" s="11">
        <f t="shared" si="4"/>
        <v>-1.5750000000000002</v>
      </c>
      <c r="I10" s="11">
        <f t="shared" si="5"/>
        <v>-2.5750000000000002</v>
      </c>
      <c r="J10" s="13">
        <f t="shared" si="0"/>
        <v>12.100000000000001</v>
      </c>
      <c r="K10" s="13">
        <f t="shared" si="1"/>
        <v>13.100000000000001</v>
      </c>
      <c r="L10" s="11">
        <f t="shared" si="6"/>
        <v>242.00000000000003</v>
      </c>
      <c r="M10" s="11">
        <f t="shared" si="6"/>
        <v>262</v>
      </c>
      <c r="N10" s="13">
        <v>0.5</v>
      </c>
      <c r="O10" s="11">
        <v>3.4</v>
      </c>
      <c r="P10" s="13">
        <v>0</v>
      </c>
      <c r="Q10" s="11">
        <v>-2.0750000000000002</v>
      </c>
      <c r="R10" s="14">
        <f t="shared" si="7"/>
        <v>12.600000000000001</v>
      </c>
    </row>
    <row r="11" spans="2:19" x14ac:dyDescent="0.3">
      <c r="B11" s="34"/>
      <c r="C11" s="13" t="s">
        <v>26</v>
      </c>
      <c r="D11" s="11">
        <f t="shared" si="2"/>
        <v>1.6</v>
      </c>
      <c r="E11" s="11">
        <f t="shared" si="3"/>
        <v>2.1</v>
      </c>
      <c r="F11" s="13">
        <v>3</v>
      </c>
      <c r="G11" s="13">
        <v>-3</v>
      </c>
      <c r="H11" s="11">
        <f t="shared" si="4"/>
        <v>-0.875</v>
      </c>
      <c r="I11" s="11">
        <f t="shared" si="5"/>
        <v>-1.375</v>
      </c>
      <c r="J11" s="13">
        <f t="shared" si="0"/>
        <v>13.3</v>
      </c>
      <c r="K11" s="13">
        <f t="shared" si="1"/>
        <v>13.8</v>
      </c>
      <c r="L11" s="11">
        <f t="shared" si="6"/>
        <v>266</v>
      </c>
      <c r="M11" s="11">
        <f t="shared" si="6"/>
        <v>276</v>
      </c>
      <c r="N11" s="13">
        <v>0.25</v>
      </c>
      <c r="O11" s="11">
        <v>1.85</v>
      </c>
      <c r="P11" s="13">
        <v>0</v>
      </c>
      <c r="Q11" s="11">
        <v>-1.125</v>
      </c>
      <c r="R11" s="14">
        <f t="shared" si="7"/>
        <v>13.55</v>
      </c>
    </row>
    <row r="12" spans="2:19" x14ac:dyDescent="0.3">
      <c r="B12" s="34"/>
      <c r="C12" s="13" t="s">
        <v>27</v>
      </c>
      <c r="D12" s="11">
        <f t="shared" si="2"/>
        <v>0.6</v>
      </c>
      <c r="E12" s="11">
        <f t="shared" si="3"/>
        <v>0.9</v>
      </c>
      <c r="F12" s="13">
        <v>3</v>
      </c>
      <c r="G12" s="13">
        <v>-3</v>
      </c>
      <c r="H12" s="11">
        <f t="shared" si="4"/>
        <v>-0.375</v>
      </c>
      <c r="I12" s="11">
        <f t="shared" si="5"/>
        <v>-0.67500000000000004</v>
      </c>
      <c r="J12" s="13">
        <f t="shared" si="0"/>
        <v>14</v>
      </c>
      <c r="K12" s="13">
        <f t="shared" si="1"/>
        <v>14.3</v>
      </c>
      <c r="L12" s="11">
        <f t="shared" si="6"/>
        <v>280</v>
      </c>
      <c r="M12" s="11">
        <f t="shared" si="6"/>
        <v>286</v>
      </c>
      <c r="N12" s="13">
        <v>0.15</v>
      </c>
      <c r="O12" s="11">
        <v>0.75</v>
      </c>
      <c r="P12" s="13">
        <v>0</v>
      </c>
      <c r="Q12" s="11">
        <v>-0.52500000000000002</v>
      </c>
      <c r="R12" s="14">
        <f t="shared" si="7"/>
        <v>14.15</v>
      </c>
    </row>
    <row r="13" spans="2:19" x14ac:dyDescent="0.3">
      <c r="B13" s="34"/>
      <c r="C13" s="13" t="s">
        <v>28</v>
      </c>
      <c r="D13" s="11">
        <f t="shared" si="2"/>
        <v>-1.3</v>
      </c>
      <c r="E13" s="11">
        <f t="shared" si="3"/>
        <v>-0.30000000000000004</v>
      </c>
      <c r="F13" s="13">
        <v>0.5</v>
      </c>
      <c r="G13" s="13">
        <v>-0.5</v>
      </c>
      <c r="H13" s="11">
        <f>Q13-N13</f>
        <v>-0.17499999999999999</v>
      </c>
      <c r="I13" s="11">
        <f>Q13+N13</f>
        <v>0.82499999999999996</v>
      </c>
      <c r="J13" s="13">
        <f t="shared" si="0"/>
        <v>14.5</v>
      </c>
      <c r="K13" s="13">
        <f t="shared" si="1"/>
        <v>15.5</v>
      </c>
      <c r="L13" s="11">
        <f t="shared" si="6"/>
        <v>290</v>
      </c>
      <c r="M13" s="11">
        <f t="shared" si="6"/>
        <v>310</v>
      </c>
      <c r="N13" s="13">
        <v>0.5</v>
      </c>
      <c r="O13" s="11">
        <v>-0.8</v>
      </c>
      <c r="P13" s="13">
        <v>0</v>
      </c>
      <c r="Q13" s="11">
        <v>0.32500000000000001</v>
      </c>
      <c r="R13" s="14">
        <f t="shared" si="7"/>
        <v>15</v>
      </c>
    </row>
    <row r="14" spans="2:19" x14ac:dyDescent="0.3">
      <c r="B14" s="34"/>
      <c r="C14" s="13" t="s">
        <v>29</v>
      </c>
      <c r="D14" s="11">
        <f t="shared" si="2"/>
        <v>-2.6</v>
      </c>
      <c r="E14" s="11">
        <f t="shared" si="3"/>
        <v>-2.1</v>
      </c>
      <c r="F14" s="13">
        <v>0.25</v>
      </c>
      <c r="G14" s="13">
        <v>-0.25</v>
      </c>
      <c r="H14" s="11">
        <f>Q14-N14</f>
        <v>1.0249999999999999</v>
      </c>
      <c r="I14" s="11">
        <f>Q14+N14</f>
        <v>1.5249999999999999</v>
      </c>
      <c r="J14" s="13">
        <f t="shared" si="0"/>
        <v>15.700000000000001</v>
      </c>
      <c r="K14" s="13">
        <f t="shared" si="1"/>
        <v>16.2</v>
      </c>
      <c r="L14" s="11">
        <f t="shared" si="6"/>
        <v>314</v>
      </c>
      <c r="M14" s="11">
        <f t="shared" si="6"/>
        <v>323.99999999999994</v>
      </c>
      <c r="N14" s="13">
        <v>0.25</v>
      </c>
      <c r="O14" s="11">
        <v>-2.35</v>
      </c>
      <c r="P14" s="13">
        <v>0</v>
      </c>
      <c r="Q14" s="11">
        <v>1.2749999999999999</v>
      </c>
      <c r="R14" s="14">
        <f t="shared" si="7"/>
        <v>15.950000000000001</v>
      </c>
    </row>
    <row r="15" spans="2:19" x14ac:dyDescent="0.3">
      <c r="B15" s="34"/>
      <c r="C15" s="13" t="s">
        <v>30</v>
      </c>
      <c r="D15" s="11">
        <f t="shared" si="2"/>
        <v>-3.6999999999999997</v>
      </c>
      <c r="E15" s="11">
        <f t="shared" si="3"/>
        <v>-3.4</v>
      </c>
      <c r="F15" s="13">
        <v>0.15</v>
      </c>
      <c r="G15" s="13">
        <v>-0.15</v>
      </c>
      <c r="H15" s="11">
        <f t="shared" ref="H15:H21" si="8">Q15-N15</f>
        <v>1.7250000000000001</v>
      </c>
      <c r="I15" s="11">
        <f t="shared" ref="I15:I21" si="9">Q15+N15</f>
        <v>2.0249999999999999</v>
      </c>
      <c r="J15" s="13">
        <f t="shared" si="0"/>
        <v>16.400000000000002</v>
      </c>
      <c r="K15" s="13">
        <f t="shared" si="1"/>
        <v>16.7</v>
      </c>
      <c r="L15" s="11">
        <f t="shared" si="6"/>
        <v>328</v>
      </c>
      <c r="M15" s="11">
        <f t="shared" si="6"/>
        <v>333.99999999999994</v>
      </c>
      <c r="N15" s="13">
        <v>0.15</v>
      </c>
      <c r="O15" s="11">
        <v>-3.55</v>
      </c>
      <c r="P15" s="13">
        <v>0</v>
      </c>
      <c r="Q15" s="11">
        <v>1.875</v>
      </c>
      <c r="R15" s="14">
        <f t="shared" si="7"/>
        <v>16.55</v>
      </c>
    </row>
    <row r="16" spans="2:19" x14ac:dyDescent="0.3">
      <c r="B16" s="34"/>
      <c r="C16" s="13" t="s">
        <v>31</v>
      </c>
      <c r="D16" s="11">
        <f t="shared" si="2"/>
        <v>2.9</v>
      </c>
      <c r="E16" s="11">
        <f t="shared" si="3"/>
        <v>3.9</v>
      </c>
      <c r="F16" s="13">
        <v>3</v>
      </c>
      <c r="G16" s="13">
        <v>-3</v>
      </c>
      <c r="H16" s="11">
        <f t="shared" si="8"/>
        <v>4.0250000000000004</v>
      </c>
      <c r="I16" s="11">
        <f t="shared" si="9"/>
        <v>5.0250000000000004</v>
      </c>
      <c r="J16" s="13">
        <f t="shared" si="0"/>
        <v>18.700000000000003</v>
      </c>
      <c r="K16" s="13">
        <f t="shared" si="1"/>
        <v>19.700000000000003</v>
      </c>
      <c r="L16" s="11">
        <f t="shared" si="6"/>
        <v>374.00000000000006</v>
      </c>
      <c r="M16" s="11">
        <f t="shared" si="6"/>
        <v>394.00000000000006</v>
      </c>
      <c r="N16" s="13">
        <v>0.5</v>
      </c>
      <c r="O16" s="11">
        <v>3.4</v>
      </c>
      <c r="P16" s="13">
        <v>0</v>
      </c>
      <c r="Q16" s="11">
        <v>4.5250000000000004</v>
      </c>
      <c r="R16" s="14">
        <f t="shared" si="7"/>
        <v>19.200000000000003</v>
      </c>
    </row>
    <row r="17" spans="2:18" x14ac:dyDescent="0.3">
      <c r="B17" s="34"/>
      <c r="C17" s="13" t="s">
        <v>32</v>
      </c>
      <c r="D17" s="11">
        <f t="shared" si="2"/>
        <v>1.6</v>
      </c>
      <c r="E17" s="11">
        <f t="shared" si="3"/>
        <v>2.1</v>
      </c>
      <c r="F17" s="13">
        <v>3</v>
      </c>
      <c r="G17" s="13">
        <v>-3</v>
      </c>
      <c r="H17" s="11">
        <f t="shared" si="8"/>
        <v>5.2249999999999996</v>
      </c>
      <c r="I17" s="11">
        <f t="shared" si="9"/>
        <v>5.7249999999999996</v>
      </c>
      <c r="J17" s="13">
        <f t="shared" si="0"/>
        <v>19.899999999999999</v>
      </c>
      <c r="K17" s="13">
        <f t="shared" si="1"/>
        <v>20.399999999999999</v>
      </c>
      <c r="L17" s="11">
        <f t="shared" si="6"/>
        <v>397.99999999999994</v>
      </c>
      <c r="M17" s="11">
        <f t="shared" si="6"/>
        <v>407.99999999999994</v>
      </c>
      <c r="N17" s="13">
        <v>0.25</v>
      </c>
      <c r="O17" s="11">
        <v>1.85</v>
      </c>
      <c r="P17" s="13">
        <v>0</v>
      </c>
      <c r="Q17" s="11">
        <v>5.4749999999999996</v>
      </c>
      <c r="R17" s="14">
        <f t="shared" si="7"/>
        <v>20.149999999999999</v>
      </c>
    </row>
    <row r="18" spans="2:18" x14ac:dyDescent="0.3">
      <c r="B18" s="34"/>
      <c r="C18" s="13" t="s">
        <v>33</v>
      </c>
      <c r="D18" s="11">
        <f t="shared" si="2"/>
        <v>0.6</v>
      </c>
      <c r="E18" s="11">
        <f t="shared" si="3"/>
        <v>0.9</v>
      </c>
      <c r="F18" s="13">
        <v>3</v>
      </c>
      <c r="G18" s="13">
        <v>-3</v>
      </c>
      <c r="H18" s="11">
        <f t="shared" si="8"/>
        <v>5.9249999999999998</v>
      </c>
      <c r="I18" s="11">
        <f t="shared" si="9"/>
        <v>6.2250000000000005</v>
      </c>
      <c r="J18" s="13">
        <f t="shared" si="0"/>
        <v>20.6</v>
      </c>
      <c r="K18" s="13">
        <f t="shared" si="1"/>
        <v>20.900000000000002</v>
      </c>
      <c r="L18" s="11">
        <f t="shared" si="6"/>
        <v>412</v>
      </c>
      <c r="M18" s="11">
        <f t="shared" si="6"/>
        <v>418</v>
      </c>
      <c r="N18" s="13">
        <v>0.15</v>
      </c>
      <c r="O18" s="11">
        <v>0.75</v>
      </c>
      <c r="P18" s="13">
        <v>0</v>
      </c>
      <c r="Q18" s="11">
        <v>6.0750000000000002</v>
      </c>
      <c r="R18" s="14">
        <f t="shared" si="7"/>
        <v>20.75</v>
      </c>
    </row>
    <row r="19" spans="2:18" x14ac:dyDescent="0.3">
      <c r="B19" s="34"/>
      <c r="C19" s="13" t="s">
        <v>34</v>
      </c>
      <c r="D19" s="11">
        <f t="shared" si="2"/>
        <v>-1.3</v>
      </c>
      <c r="E19" s="11">
        <f t="shared" si="3"/>
        <v>-0.30000000000000004</v>
      </c>
      <c r="F19" s="13">
        <v>0.5</v>
      </c>
      <c r="G19" s="13">
        <v>-0.5</v>
      </c>
      <c r="H19" s="11">
        <f t="shared" si="8"/>
        <v>6.4249999999999998</v>
      </c>
      <c r="I19" s="11">
        <f t="shared" si="9"/>
        <v>7.4249999999999998</v>
      </c>
      <c r="J19" s="13">
        <f t="shared" si="0"/>
        <v>21.1</v>
      </c>
      <c r="K19" s="13">
        <f t="shared" si="1"/>
        <v>22.1</v>
      </c>
      <c r="L19" s="11">
        <f t="shared" si="6"/>
        <v>422</v>
      </c>
      <c r="M19" s="11">
        <f t="shared" si="6"/>
        <v>442</v>
      </c>
      <c r="N19" s="13">
        <v>0.5</v>
      </c>
      <c r="O19" s="11">
        <v>-0.8</v>
      </c>
      <c r="P19" s="13">
        <v>0</v>
      </c>
      <c r="Q19" s="11">
        <v>6.9249999999999998</v>
      </c>
      <c r="R19" s="14">
        <f t="shared" si="7"/>
        <v>21.6</v>
      </c>
    </row>
    <row r="20" spans="2:18" x14ac:dyDescent="0.3">
      <c r="B20" s="34"/>
      <c r="C20" s="13" t="s">
        <v>35</v>
      </c>
      <c r="D20" s="11">
        <f t="shared" si="2"/>
        <v>-2.6</v>
      </c>
      <c r="E20" s="11">
        <f t="shared" si="3"/>
        <v>-2.1</v>
      </c>
      <c r="F20" s="13">
        <v>0.25</v>
      </c>
      <c r="G20" s="13">
        <v>-0.25</v>
      </c>
      <c r="H20" s="11">
        <f t="shared" si="8"/>
        <v>7.625</v>
      </c>
      <c r="I20" s="11">
        <f t="shared" si="9"/>
        <v>8.125</v>
      </c>
      <c r="J20" s="13">
        <f t="shared" si="0"/>
        <v>22.3</v>
      </c>
      <c r="K20" s="13">
        <f t="shared" si="1"/>
        <v>22.8</v>
      </c>
      <c r="L20" s="11">
        <f t="shared" si="6"/>
        <v>446</v>
      </c>
      <c r="M20" s="11">
        <f t="shared" si="6"/>
        <v>456</v>
      </c>
      <c r="N20" s="13">
        <v>0.25</v>
      </c>
      <c r="O20" s="11">
        <v>-2.35</v>
      </c>
      <c r="P20" s="13">
        <v>0</v>
      </c>
      <c r="Q20" s="11">
        <v>7.875</v>
      </c>
      <c r="R20" s="14">
        <f t="shared" si="7"/>
        <v>22.55</v>
      </c>
    </row>
    <row r="21" spans="2:18" x14ac:dyDescent="0.3">
      <c r="B21" s="34"/>
      <c r="C21" s="13" t="s">
        <v>36</v>
      </c>
      <c r="D21" s="11">
        <f t="shared" si="2"/>
        <v>-3.6999999999999997</v>
      </c>
      <c r="E21" s="11">
        <f t="shared" si="3"/>
        <v>-3.4</v>
      </c>
      <c r="F21" s="13">
        <v>0.15</v>
      </c>
      <c r="G21" s="13">
        <v>-0.15</v>
      </c>
      <c r="H21" s="11">
        <f t="shared" si="8"/>
        <v>8.3249999999999993</v>
      </c>
      <c r="I21" s="11">
        <f t="shared" si="9"/>
        <v>8.625</v>
      </c>
      <c r="J21" s="13">
        <f t="shared" si="0"/>
        <v>23</v>
      </c>
      <c r="K21" s="13">
        <f t="shared" si="1"/>
        <v>23.3</v>
      </c>
      <c r="L21" s="11">
        <f t="shared" si="6"/>
        <v>460</v>
      </c>
      <c r="M21" s="11">
        <f t="shared" si="6"/>
        <v>466</v>
      </c>
      <c r="N21" s="13">
        <v>0.15</v>
      </c>
      <c r="O21" s="11">
        <v>-3.55</v>
      </c>
      <c r="P21" s="13">
        <v>0</v>
      </c>
      <c r="Q21" s="11">
        <v>8.4749999999999996</v>
      </c>
      <c r="R21" s="14">
        <f t="shared" si="7"/>
        <v>23.15</v>
      </c>
    </row>
    <row r="22" spans="2:18" ht="15" thickBot="1" x14ac:dyDescent="0.35">
      <c r="B22" s="35"/>
      <c r="C22" s="15" t="s">
        <v>53</v>
      </c>
      <c r="D22" s="16" t="s">
        <v>18</v>
      </c>
      <c r="E22" s="16" t="s">
        <v>18</v>
      </c>
      <c r="F22" s="17" t="s">
        <v>18</v>
      </c>
      <c r="G22" s="17" t="s">
        <v>18</v>
      </c>
      <c r="H22" s="18">
        <v>11.175000000000001</v>
      </c>
      <c r="I22" s="18">
        <v>13.675000000000001</v>
      </c>
      <c r="J22" s="15">
        <v>25.85</v>
      </c>
      <c r="K22" s="15">
        <v>28.35</v>
      </c>
      <c r="L22" s="18">
        <f t="shared" ref="L22:M22" si="10">J22/0.05</f>
        <v>517</v>
      </c>
      <c r="M22" s="18">
        <f t="shared" si="10"/>
        <v>567</v>
      </c>
      <c r="N22" s="17" t="s">
        <v>18</v>
      </c>
      <c r="O22" s="16" t="s">
        <v>18</v>
      </c>
      <c r="P22" s="17" t="s">
        <v>18</v>
      </c>
      <c r="Q22" s="18">
        <v>12.425000000000001</v>
      </c>
      <c r="R22" s="19">
        <v>27.1</v>
      </c>
    </row>
    <row r="23" spans="2:18" x14ac:dyDescent="0.3">
      <c r="B23" s="33" t="s">
        <v>50</v>
      </c>
      <c r="C23" s="7" t="s">
        <v>17</v>
      </c>
      <c r="D23" s="8" t="s">
        <v>18</v>
      </c>
      <c r="E23" s="8" t="s">
        <v>18</v>
      </c>
      <c r="F23" s="9" t="s">
        <v>18</v>
      </c>
      <c r="G23" s="9" t="s">
        <v>18</v>
      </c>
      <c r="H23" s="10">
        <v>-13.675000000000001</v>
      </c>
      <c r="I23" s="10">
        <v>-11.175000000000001</v>
      </c>
      <c r="J23" s="7">
        <v>1</v>
      </c>
      <c r="K23" s="7">
        <v>3.5</v>
      </c>
      <c r="L23" s="11">
        <f>J23/0.05</f>
        <v>20</v>
      </c>
      <c r="M23" s="11">
        <f>K23/0.05</f>
        <v>70</v>
      </c>
      <c r="N23" s="9" t="s">
        <v>18</v>
      </c>
      <c r="O23" s="8" t="s">
        <v>18</v>
      </c>
      <c r="P23" s="9" t="s">
        <v>18</v>
      </c>
      <c r="Q23" s="10">
        <v>-12.425000000000001</v>
      </c>
      <c r="R23" s="12">
        <v>2.25</v>
      </c>
    </row>
    <row r="24" spans="2:18" x14ac:dyDescent="0.3">
      <c r="B24" s="34"/>
      <c r="C24" s="13" t="s">
        <v>19</v>
      </c>
      <c r="D24" s="11">
        <f>O24-N24</f>
        <v>2.9</v>
      </c>
      <c r="E24" s="11">
        <f>O24+N24</f>
        <v>3.9</v>
      </c>
      <c r="F24" s="13">
        <v>3</v>
      </c>
      <c r="G24" s="13">
        <v>-3</v>
      </c>
      <c r="H24" s="11">
        <f>Q24+N24</f>
        <v>-5.7750000000000004</v>
      </c>
      <c r="I24" s="11">
        <f>Q24-N24</f>
        <v>-6.7750000000000004</v>
      </c>
      <c r="J24" s="13">
        <f t="shared" ref="J24:J41" si="11">(Q24-N24)+(29.35/2)</f>
        <v>7.9</v>
      </c>
      <c r="K24" s="13">
        <f t="shared" ref="K24:K41" si="12">(Q24+N24)+(29.35/2)</f>
        <v>8.9</v>
      </c>
      <c r="L24" s="11">
        <f>J24/0.05</f>
        <v>158</v>
      </c>
      <c r="M24" s="11">
        <f>K24/0.05</f>
        <v>178</v>
      </c>
      <c r="N24" s="13">
        <v>0.5</v>
      </c>
      <c r="O24" s="11">
        <v>3.4</v>
      </c>
      <c r="P24" s="13">
        <v>0</v>
      </c>
      <c r="Q24" s="11">
        <v>-6.2750000000000004</v>
      </c>
      <c r="R24" s="14">
        <f>Q24+(29.35/2)</f>
        <v>8.4</v>
      </c>
    </row>
    <row r="25" spans="2:18" x14ac:dyDescent="0.3">
      <c r="B25" s="34"/>
      <c r="C25" s="13" t="s">
        <v>20</v>
      </c>
      <c r="D25" s="11">
        <f t="shared" ref="D25:D41" si="13">O25-N25</f>
        <v>1.6</v>
      </c>
      <c r="E25" s="11">
        <f t="shared" ref="E25:E41" si="14">O25+N25</f>
        <v>2.1</v>
      </c>
      <c r="F25" s="13">
        <v>3</v>
      </c>
      <c r="G25" s="13">
        <v>-3</v>
      </c>
      <c r="H25" s="11">
        <f t="shared" ref="H25:H32" si="15">Q25+N25</f>
        <v>-7.4749999999999996</v>
      </c>
      <c r="I25" s="11">
        <f t="shared" ref="I25:I32" si="16">Q25-N25</f>
        <v>-7.9749999999999996</v>
      </c>
      <c r="J25" s="13">
        <f t="shared" si="11"/>
        <v>6.7000000000000011</v>
      </c>
      <c r="K25" s="13">
        <f t="shared" si="12"/>
        <v>7.2000000000000011</v>
      </c>
      <c r="L25" s="11">
        <f t="shared" ref="L25:L42" si="17">J25/0.05</f>
        <v>134</v>
      </c>
      <c r="M25" s="11">
        <f t="shared" ref="M25:M42" si="18">K25/0.05</f>
        <v>144</v>
      </c>
      <c r="N25" s="13">
        <v>0.25</v>
      </c>
      <c r="O25" s="11">
        <v>1.85</v>
      </c>
      <c r="P25" s="13">
        <v>0</v>
      </c>
      <c r="Q25" s="11">
        <v>-7.7249999999999996</v>
      </c>
      <c r="R25" s="14">
        <f t="shared" ref="R25:R41" si="19">Q25+(29.35/2)</f>
        <v>6.9500000000000011</v>
      </c>
    </row>
    <row r="26" spans="2:18" x14ac:dyDescent="0.3">
      <c r="B26" s="34"/>
      <c r="C26" s="13" t="s">
        <v>21</v>
      </c>
      <c r="D26" s="11">
        <f t="shared" si="13"/>
        <v>0.6</v>
      </c>
      <c r="E26" s="11">
        <f t="shared" si="14"/>
        <v>0.9</v>
      </c>
      <c r="F26" s="13">
        <v>3</v>
      </c>
      <c r="G26" s="13">
        <v>-3</v>
      </c>
      <c r="H26" s="11">
        <f t="shared" si="15"/>
        <v>-6.9749999999999996</v>
      </c>
      <c r="I26" s="11">
        <f t="shared" si="16"/>
        <v>-7.2750000000000004</v>
      </c>
      <c r="J26" s="13">
        <f t="shared" si="11"/>
        <v>7.4</v>
      </c>
      <c r="K26" s="13">
        <f t="shared" si="12"/>
        <v>7.7000000000000011</v>
      </c>
      <c r="L26" s="11">
        <f t="shared" si="17"/>
        <v>148</v>
      </c>
      <c r="M26" s="11">
        <f t="shared" si="18"/>
        <v>154</v>
      </c>
      <c r="N26" s="13">
        <v>0.15</v>
      </c>
      <c r="O26" s="11">
        <v>0.75</v>
      </c>
      <c r="P26" s="13">
        <v>0</v>
      </c>
      <c r="Q26" s="11">
        <v>-7.125</v>
      </c>
      <c r="R26" s="14">
        <f t="shared" si="19"/>
        <v>7.5500000000000007</v>
      </c>
    </row>
    <row r="27" spans="2:18" x14ac:dyDescent="0.3">
      <c r="B27" s="34"/>
      <c r="C27" s="13" t="s">
        <v>22</v>
      </c>
      <c r="D27" s="11">
        <f t="shared" si="13"/>
        <v>-1.3</v>
      </c>
      <c r="E27" s="11">
        <f t="shared" si="14"/>
        <v>-0.30000000000000004</v>
      </c>
      <c r="F27" s="13">
        <v>0.5</v>
      </c>
      <c r="G27" s="13">
        <v>-0.5</v>
      </c>
      <c r="H27" s="11">
        <f t="shared" si="15"/>
        <v>-8.1750000000000007</v>
      </c>
      <c r="I27" s="11">
        <f t="shared" si="16"/>
        <v>-9.1750000000000007</v>
      </c>
      <c r="J27" s="13">
        <f t="shared" si="11"/>
        <v>5.5</v>
      </c>
      <c r="K27" s="13">
        <f t="shared" si="12"/>
        <v>6.5</v>
      </c>
      <c r="L27" s="11">
        <f t="shared" si="17"/>
        <v>110</v>
      </c>
      <c r="M27" s="11">
        <f t="shared" si="18"/>
        <v>130</v>
      </c>
      <c r="N27" s="13">
        <v>0.5</v>
      </c>
      <c r="O27" s="11">
        <v>-0.8</v>
      </c>
      <c r="P27" s="13">
        <v>0</v>
      </c>
      <c r="Q27" s="11">
        <v>-8.6750000000000007</v>
      </c>
      <c r="R27" s="14">
        <f t="shared" si="19"/>
        <v>6</v>
      </c>
    </row>
    <row r="28" spans="2:18" x14ac:dyDescent="0.3">
      <c r="B28" s="34"/>
      <c r="C28" s="13" t="s">
        <v>23</v>
      </c>
      <c r="D28" s="11">
        <f t="shared" si="13"/>
        <v>-2.6</v>
      </c>
      <c r="E28" s="11">
        <f t="shared" si="14"/>
        <v>-2.1</v>
      </c>
      <c r="F28" s="13">
        <v>0.25</v>
      </c>
      <c r="G28" s="13">
        <v>-0.25</v>
      </c>
      <c r="H28" s="11">
        <f t="shared" si="15"/>
        <v>-5.0750000000000002</v>
      </c>
      <c r="I28" s="11">
        <f t="shared" si="16"/>
        <v>-5.5750000000000002</v>
      </c>
      <c r="J28" s="13">
        <f t="shared" si="11"/>
        <v>9.1000000000000014</v>
      </c>
      <c r="K28" s="13">
        <f t="shared" si="12"/>
        <v>9.6000000000000014</v>
      </c>
      <c r="L28" s="11">
        <f t="shared" si="17"/>
        <v>182.00000000000003</v>
      </c>
      <c r="M28" s="11">
        <f t="shared" si="18"/>
        <v>192.00000000000003</v>
      </c>
      <c r="N28" s="13">
        <v>0.25</v>
      </c>
      <c r="O28" s="11">
        <v>-2.35</v>
      </c>
      <c r="P28" s="13">
        <v>0</v>
      </c>
      <c r="Q28" s="11">
        <v>-5.3250000000000002</v>
      </c>
      <c r="R28" s="14">
        <f t="shared" si="19"/>
        <v>9.3500000000000014</v>
      </c>
    </row>
    <row r="29" spans="2:18" x14ac:dyDescent="0.3">
      <c r="B29" s="34"/>
      <c r="C29" s="13" t="s">
        <v>24</v>
      </c>
      <c r="D29" s="11">
        <f t="shared" si="13"/>
        <v>-3.6999999999999997</v>
      </c>
      <c r="E29" s="11">
        <f t="shared" si="14"/>
        <v>-3.4</v>
      </c>
      <c r="F29" s="13">
        <v>0.15</v>
      </c>
      <c r="G29" s="13">
        <v>-0.15</v>
      </c>
      <c r="H29" s="11">
        <f t="shared" si="15"/>
        <v>-4.5749999999999993</v>
      </c>
      <c r="I29" s="11">
        <f t="shared" si="16"/>
        <v>-4.875</v>
      </c>
      <c r="J29" s="13">
        <f t="shared" si="11"/>
        <v>9.8000000000000007</v>
      </c>
      <c r="K29" s="13">
        <f t="shared" si="12"/>
        <v>10.100000000000001</v>
      </c>
      <c r="L29" s="11">
        <f t="shared" si="17"/>
        <v>196</v>
      </c>
      <c r="M29" s="11">
        <f t="shared" si="18"/>
        <v>202.00000000000003</v>
      </c>
      <c r="N29" s="13">
        <v>0.15</v>
      </c>
      <c r="O29" s="11">
        <v>-3.55</v>
      </c>
      <c r="P29" s="13">
        <v>0</v>
      </c>
      <c r="Q29" s="11">
        <v>-4.7249999999999996</v>
      </c>
      <c r="R29" s="14">
        <f t="shared" si="19"/>
        <v>9.9500000000000011</v>
      </c>
    </row>
    <row r="30" spans="2:18" x14ac:dyDescent="0.3">
      <c r="B30" s="34"/>
      <c r="C30" s="13" t="s">
        <v>25</v>
      </c>
      <c r="D30" s="11">
        <f t="shared" si="13"/>
        <v>2.9</v>
      </c>
      <c r="E30" s="11">
        <f t="shared" si="14"/>
        <v>3.9</v>
      </c>
      <c r="F30" s="13">
        <v>3</v>
      </c>
      <c r="G30" s="13">
        <v>-3</v>
      </c>
      <c r="H30" s="11">
        <f>Q30+-N30</f>
        <v>-0.17499999999999999</v>
      </c>
      <c r="I30" s="11">
        <f>Q30+N30</f>
        <v>0.82499999999999996</v>
      </c>
      <c r="J30" s="13">
        <f t="shared" si="11"/>
        <v>14.5</v>
      </c>
      <c r="K30" s="13">
        <f t="shared" si="12"/>
        <v>15.5</v>
      </c>
      <c r="L30" s="11">
        <f t="shared" si="17"/>
        <v>290</v>
      </c>
      <c r="M30" s="11">
        <f t="shared" si="18"/>
        <v>310</v>
      </c>
      <c r="N30" s="13">
        <v>0.5</v>
      </c>
      <c r="O30" s="11">
        <v>3.4</v>
      </c>
      <c r="P30" s="13">
        <v>0</v>
      </c>
      <c r="Q30" s="11">
        <v>0.32500000000000001</v>
      </c>
      <c r="R30" s="14">
        <f t="shared" si="19"/>
        <v>15</v>
      </c>
    </row>
    <row r="31" spans="2:18" x14ac:dyDescent="0.3">
      <c r="B31" s="34"/>
      <c r="C31" s="13" t="s">
        <v>26</v>
      </c>
      <c r="D31" s="11">
        <f t="shared" si="13"/>
        <v>1.6</v>
      </c>
      <c r="E31" s="11">
        <f t="shared" si="14"/>
        <v>2.1</v>
      </c>
      <c r="F31" s="13">
        <v>3</v>
      </c>
      <c r="G31" s="13">
        <v>-3</v>
      </c>
      <c r="H31" s="11">
        <f t="shared" si="15"/>
        <v>-0.875</v>
      </c>
      <c r="I31" s="11">
        <f t="shared" si="16"/>
        <v>-1.375</v>
      </c>
      <c r="J31" s="13">
        <f t="shared" si="11"/>
        <v>13.3</v>
      </c>
      <c r="K31" s="13">
        <f t="shared" si="12"/>
        <v>13.8</v>
      </c>
      <c r="L31" s="11">
        <f t="shared" si="17"/>
        <v>266</v>
      </c>
      <c r="M31" s="11">
        <f t="shared" si="18"/>
        <v>276</v>
      </c>
      <c r="N31" s="13">
        <v>0.25</v>
      </c>
      <c r="O31" s="11">
        <v>1.85</v>
      </c>
      <c r="P31" s="13">
        <v>0</v>
      </c>
      <c r="Q31" s="11">
        <v>-1.125</v>
      </c>
      <c r="R31" s="14">
        <f t="shared" si="19"/>
        <v>13.55</v>
      </c>
    </row>
    <row r="32" spans="2:18" x14ac:dyDescent="0.3">
      <c r="B32" s="34"/>
      <c r="C32" s="13" t="s">
        <v>27</v>
      </c>
      <c r="D32" s="11">
        <f t="shared" si="13"/>
        <v>0.6</v>
      </c>
      <c r="E32" s="11">
        <f t="shared" si="14"/>
        <v>0.9</v>
      </c>
      <c r="F32" s="13">
        <v>3</v>
      </c>
      <c r="G32" s="13">
        <v>-3</v>
      </c>
      <c r="H32" s="11">
        <f t="shared" si="15"/>
        <v>-0.375</v>
      </c>
      <c r="I32" s="11">
        <f t="shared" si="16"/>
        <v>-0.67500000000000004</v>
      </c>
      <c r="J32" s="13">
        <f t="shared" si="11"/>
        <v>14</v>
      </c>
      <c r="K32" s="13">
        <f t="shared" si="12"/>
        <v>14.3</v>
      </c>
      <c r="L32" s="11">
        <f t="shared" si="17"/>
        <v>280</v>
      </c>
      <c r="M32" s="11">
        <f t="shared" si="18"/>
        <v>286</v>
      </c>
      <c r="N32" s="13">
        <v>0.15</v>
      </c>
      <c r="O32" s="11">
        <v>0.75</v>
      </c>
      <c r="P32" s="13">
        <v>0</v>
      </c>
      <c r="Q32" s="11">
        <v>-0.52500000000000002</v>
      </c>
      <c r="R32" s="14">
        <f t="shared" si="19"/>
        <v>14.15</v>
      </c>
    </row>
    <row r="33" spans="2:18" x14ac:dyDescent="0.3">
      <c r="B33" s="34"/>
      <c r="C33" s="13" t="s">
        <v>28</v>
      </c>
      <c r="D33" s="11">
        <f t="shared" si="13"/>
        <v>-1.3</v>
      </c>
      <c r="E33" s="11">
        <f t="shared" si="14"/>
        <v>-0.30000000000000004</v>
      </c>
      <c r="F33" s="13">
        <v>0.5</v>
      </c>
      <c r="G33" s="13">
        <v>-0.5</v>
      </c>
      <c r="H33" s="11">
        <f>Q33-N33</f>
        <v>-2.5750000000000002</v>
      </c>
      <c r="I33" s="11">
        <f>Q33+N33</f>
        <v>-1.5750000000000002</v>
      </c>
      <c r="J33" s="13">
        <f t="shared" si="11"/>
        <v>12.100000000000001</v>
      </c>
      <c r="K33" s="13">
        <f t="shared" si="12"/>
        <v>13.100000000000001</v>
      </c>
      <c r="L33" s="11">
        <f t="shared" si="17"/>
        <v>242.00000000000003</v>
      </c>
      <c r="M33" s="11">
        <f t="shared" si="18"/>
        <v>262</v>
      </c>
      <c r="N33" s="13">
        <v>0.5</v>
      </c>
      <c r="O33" s="11">
        <v>-0.8</v>
      </c>
      <c r="P33" s="13">
        <v>0</v>
      </c>
      <c r="Q33" s="11">
        <v>-2.0750000000000002</v>
      </c>
      <c r="R33" s="14">
        <f t="shared" si="19"/>
        <v>12.600000000000001</v>
      </c>
    </row>
    <row r="34" spans="2:18" x14ac:dyDescent="0.3">
      <c r="B34" s="34"/>
      <c r="C34" s="13" t="s">
        <v>29</v>
      </c>
      <c r="D34" s="11">
        <f t="shared" si="13"/>
        <v>-2.6</v>
      </c>
      <c r="E34" s="11">
        <f t="shared" si="14"/>
        <v>-2.1</v>
      </c>
      <c r="F34" s="13">
        <v>0.25</v>
      </c>
      <c r="G34" s="13">
        <v>-0.25</v>
      </c>
      <c r="H34" s="11">
        <f>Q34-N34</f>
        <v>1.0249999999999999</v>
      </c>
      <c r="I34" s="11">
        <f>Q34+N34</f>
        <v>1.5249999999999999</v>
      </c>
      <c r="J34" s="13">
        <f t="shared" si="11"/>
        <v>15.700000000000001</v>
      </c>
      <c r="K34" s="13">
        <f t="shared" si="12"/>
        <v>16.2</v>
      </c>
      <c r="L34" s="11">
        <f t="shared" si="17"/>
        <v>314</v>
      </c>
      <c r="M34" s="11">
        <f t="shared" si="18"/>
        <v>323.99999999999994</v>
      </c>
      <c r="N34" s="13">
        <v>0.25</v>
      </c>
      <c r="O34" s="11">
        <v>-2.35</v>
      </c>
      <c r="P34" s="13">
        <v>0</v>
      </c>
      <c r="Q34" s="11">
        <v>1.2749999999999999</v>
      </c>
      <c r="R34" s="14">
        <f t="shared" si="19"/>
        <v>15.950000000000001</v>
      </c>
    </row>
    <row r="35" spans="2:18" x14ac:dyDescent="0.3">
      <c r="B35" s="34"/>
      <c r="C35" s="13" t="s">
        <v>30</v>
      </c>
      <c r="D35" s="11">
        <f t="shared" si="13"/>
        <v>-3.6999999999999997</v>
      </c>
      <c r="E35" s="11">
        <f t="shared" si="14"/>
        <v>-3.4</v>
      </c>
      <c r="F35" s="13">
        <v>0.15</v>
      </c>
      <c r="G35" s="13">
        <v>-0.15</v>
      </c>
      <c r="H35" s="11">
        <f t="shared" ref="H35:H41" si="20">Q35-N35</f>
        <v>1.7250000000000001</v>
      </c>
      <c r="I35" s="11">
        <f t="shared" ref="I35:I41" si="21">Q35+N35</f>
        <v>2.0249999999999999</v>
      </c>
      <c r="J35" s="13">
        <f t="shared" si="11"/>
        <v>16.400000000000002</v>
      </c>
      <c r="K35" s="13">
        <f t="shared" si="12"/>
        <v>16.7</v>
      </c>
      <c r="L35" s="11">
        <f t="shared" si="17"/>
        <v>328</v>
      </c>
      <c r="M35" s="11">
        <f t="shared" si="18"/>
        <v>333.99999999999994</v>
      </c>
      <c r="N35" s="13">
        <v>0.15</v>
      </c>
      <c r="O35" s="11">
        <v>-3.55</v>
      </c>
      <c r="P35" s="13">
        <v>0</v>
      </c>
      <c r="Q35" s="11">
        <v>1.875</v>
      </c>
      <c r="R35" s="14">
        <f t="shared" si="19"/>
        <v>16.55</v>
      </c>
    </row>
    <row r="36" spans="2:18" x14ac:dyDescent="0.3">
      <c r="B36" s="34"/>
      <c r="C36" s="13" t="s">
        <v>31</v>
      </c>
      <c r="D36" s="11">
        <f t="shared" si="13"/>
        <v>2.9</v>
      </c>
      <c r="E36" s="11">
        <f t="shared" si="14"/>
        <v>3.9</v>
      </c>
      <c r="F36" s="13">
        <v>3</v>
      </c>
      <c r="G36" s="13">
        <v>-3</v>
      </c>
      <c r="H36" s="11">
        <f t="shared" si="20"/>
        <v>6.4249999999999998</v>
      </c>
      <c r="I36" s="11">
        <f t="shared" si="21"/>
        <v>7.4249999999999998</v>
      </c>
      <c r="J36" s="13">
        <f t="shared" si="11"/>
        <v>21.1</v>
      </c>
      <c r="K36" s="13">
        <f t="shared" si="12"/>
        <v>22.1</v>
      </c>
      <c r="L36" s="11">
        <f t="shared" si="17"/>
        <v>422</v>
      </c>
      <c r="M36" s="11">
        <f t="shared" si="18"/>
        <v>442</v>
      </c>
      <c r="N36" s="13">
        <v>0.5</v>
      </c>
      <c r="O36" s="11">
        <v>3.4</v>
      </c>
      <c r="P36" s="13">
        <v>0</v>
      </c>
      <c r="Q36" s="11">
        <v>6.9249999999999998</v>
      </c>
      <c r="R36" s="14">
        <f t="shared" si="19"/>
        <v>21.6</v>
      </c>
    </row>
    <row r="37" spans="2:18" x14ac:dyDescent="0.3">
      <c r="B37" s="34"/>
      <c r="C37" s="13" t="s">
        <v>32</v>
      </c>
      <c r="D37" s="11">
        <f t="shared" si="13"/>
        <v>1.6</v>
      </c>
      <c r="E37" s="11">
        <f t="shared" si="14"/>
        <v>2.1</v>
      </c>
      <c r="F37" s="13">
        <v>3</v>
      </c>
      <c r="G37" s="13">
        <v>-3</v>
      </c>
      <c r="H37" s="11">
        <f t="shared" si="20"/>
        <v>5.2249999999999996</v>
      </c>
      <c r="I37" s="11">
        <f t="shared" si="21"/>
        <v>5.7249999999999996</v>
      </c>
      <c r="J37" s="13">
        <f t="shared" si="11"/>
        <v>19.899999999999999</v>
      </c>
      <c r="K37" s="13">
        <f t="shared" si="12"/>
        <v>20.399999999999999</v>
      </c>
      <c r="L37" s="11">
        <f t="shared" si="17"/>
        <v>397.99999999999994</v>
      </c>
      <c r="M37" s="11">
        <f t="shared" si="18"/>
        <v>407.99999999999994</v>
      </c>
      <c r="N37" s="13">
        <v>0.25</v>
      </c>
      <c r="O37" s="11">
        <v>1.85</v>
      </c>
      <c r="P37" s="13">
        <v>0</v>
      </c>
      <c r="Q37" s="11">
        <v>5.4749999999999996</v>
      </c>
      <c r="R37" s="14">
        <f t="shared" si="19"/>
        <v>20.149999999999999</v>
      </c>
    </row>
    <row r="38" spans="2:18" x14ac:dyDescent="0.3">
      <c r="B38" s="34"/>
      <c r="C38" s="13" t="s">
        <v>33</v>
      </c>
      <c r="D38" s="11">
        <f t="shared" si="13"/>
        <v>0.6</v>
      </c>
      <c r="E38" s="11">
        <f t="shared" si="14"/>
        <v>0.9</v>
      </c>
      <c r="F38" s="13">
        <v>3</v>
      </c>
      <c r="G38" s="13">
        <v>-3</v>
      </c>
      <c r="H38" s="11">
        <f t="shared" si="20"/>
        <v>5.9249999999999998</v>
      </c>
      <c r="I38" s="11">
        <f t="shared" si="21"/>
        <v>6.2250000000000005</v>
      </c>
      <c r="J38" s="13">
        <f t="shared" si="11"/>
        <v>20.6</v>
      </c>
      <c r="K38" s="13">
        <f t="shared" si="12"/>
        <v>20.900000000000002</v>
      </c>
      <c r="L38" s="11">
        <f t="shared" si="17"/>
        <v>412</v>
      </c>
      <c r="M38" s="11">
        <f t="shared" si="18"/>
        <v>418</v>
      </c>
      <c r="N38" s="13">
        <v>0.15</v>
      </c>
      <c r="O38" s="11">
        <v>0.75</v>
      </c>
      <c r="P38" s="13">
        <v>0</v>
      </c>
      <c r="Q38" s="11">
        <v>6.0750000000000002</v>
      </c>
      <c r="R38" s="14">
        <f t="shared" si="19"/>
        <v>20.75</v>
      </c>
    </row>
    <row r="39" spans="2:18" x14ac:dyDescent="0.3">
      <c r="B39" s="34"/>
      <c r="C39" s="13" t="s">
        <v>34</v>
      </c>
      <c r="D39" s="11">
        <f t="shared" si="13"/>
        <v>-1.3</v>
      </c>
      <c r="E39" s="11">
        <f t="shared" si="14"/>
        <v>-0.30000000000000004</v>
      </c>
      <c r="F39" s="13">
        <v>0.5</v>
      </c>
      <c r="G39" s="13">
        <v>-0.5</v>
      </c>
      <c r="H39" s="11">
        <f t="shared" si="20"/>
        <v>4.0250000000000004</v>
      </c>
      <c r="I39" s="11">
        <f t="shared" si="21"/>
        <v>5.0250000000000004</v>
      </c>
      <c r="J39" s="13">
        <f t="shared" si="11"/>
        <v>18.700000000000003</v>
      </c>
      <c r="K39" s="13">
        <f t="shared" si="12"/>
        <v>19.700000000000003</v>
      </c>
      <c r="L39" s="11">
        <f t="shared" si="17"/>
        <v>374.00000000000006</v>
      </c>
      <c r="M39" s="11">
        <f t="shared" si="18"/>
        <v>394.00000000000006</v>
      </c>
      <c r="N39" s="13">
        <v>0.5</v>
      </c>
      <c r="O39" s="11">
        <v>-0.8</v>
      </c>
      <c r="P39" s="13">
        <v>0</v>
      </c>
      <c r="Q39" s="11">
        <v>4.5250000000000004</v>
      </c>
      <c r="R39" s="14">
        <f t="shared" si="19"/>
        <v>19.200000000000003</v>
      </c>
    </row>
    <row r="40" spans="2:18" x14ac:dyDescent="0.3">
      <c r="B40" s="34"/>
      <c r="C40" s="13" t="s">
        <v>35</v>
      </c>
      <c r="D40" s="11">
        <f t="shared" si="13"/>
        <v>-2.6</v>
      </c>
      <c r="E40" s="11">
        <f t="shared" si="14"/>
        <v>-2.1</v>
      </c>
      <c r="F40" s="13">
        <v>0.25</v>
      </c>
      <c r="G40" s="13">
        <v>-0.25</v>
      </c>
      <c r="H40" s="11">
        <f t="shared" si="20"/>
        <v>7.625</v>
      </c>
      <c r="I40" s="11">
        <f t="shared" si="21"/>
        <v>8.125</v>
      </c>
      <c r="J40" s="13">
        <f t="shared" si="11"/>
        <v>22.3</v>
      </c>
      <c r="K40" s="13">
        <f t="shared" si="12"/>
        <v>22.8</v>
      </c>
      <c r="L40" s="11">
        <f t="shared" si="17"/>
        <v>446</v>
      </c>
      <c r="M40" s="11">
        <f t="shared" si="18"/>
        <v>456</v>
      </c>
      <c r="N40" s="13">
        <v>0.25</v>
      </c>
      <c r="O40" s="11">
        <v>-2.35</v>
      </c>
      <c r="P40" s="13">
        <v>0</v>
      </c>
      <c r="Q40" s="11">
        <v>7.875</v>
      </c>
      <c r="R40" s="14">
        <f t="shared" si="19"/>
        <v>22.55</v>
      </c>
    </row>
    <row r="41" spans="2:18" x14ac:dyDescent="0.3">
      <c r="B41" s="34"/>
      <c r="C41" s="13" t="s">
        <v>36</v>
      </c>
      <c r="D41" s="11">
        <f t="shared" si="13"/>
        <v>-3.6999999999999997</v>
      </c>
      <c r="E41" s="11">
        <f t="shared" si="14"/>
        <v>-3.4</v>
      </c>
      <c r="F41" s="13">
        <v>0.15</v>
      </c>
      <c r="G41" s="13">
        <v>-0.15</v>
      </c>
      <c r="H41" s="11">
        <f t="shared" si="20"/>
        <v>8.3249999999999993</v>
      </c>
      <c r="I41" s="11">
        <f t="shared" si="21"/>
        <v>8.625</v>
      </c>
      <c r="J41" s="13">
        <f t="shared" si="11"/>
        <v>23</v>
      </c>
      <c r="K41" s="13">
        <f t="shared" si="12"/>
        <v>23.3</v>
      </c>
      <c r="L41" s="11">
        <f t="shared" si="17"/>
        <v>460</v>
      </c>
      <c r="M41" s="11">
        <f t="shared" si="18"/>
        <v>466</v>
      </c>
      <c r="N41" s="13">
        <v>0.15</v>
      </c>
      <c r="O41" s="11">
        <v>-3.55</v>
      </c>
      <c r="P41" s="13">
        <v>0</v>
      </c>
      <c r="Q41" s="11">
        <v>8.4749999999999996</v>
      </c>
      <c r="R41" s="14">
        <f t="shared" si="19"/>
        <v>23.15</v>
      </c>
    </row>
    <row r="42" spans="2:18" ht="15" thickBot="1" x14ac:dyDescent="0.35">
      <c r="B42" s="35"/>
      <c r="C42" s="15" t="s">
        <v>53</v>
      </c>
      <c r="D42" s="16" t="s">
        <v>18</v>
      </c>
      <c r="E42" s="16" t="s">
        <v>18</v>
      </c>
      <c r="F42" s="17" t="s">
        <v>18</v>
      </c>
      <c r="G42" s="17" t="s">
        <v>18</v>
      </c>
      <c r="H42" s="18">
        <v>11.175000000000001</v>
      </c>
      <c r="I42" s="18">
        <v>13.675000000000001</v>
      </c>
      <c r="J42" s="15">
        <v>25.85</v>
      </c>
      <c r="K42" s="15">
        <v>28.35</v>
      </c>
      <c r="L42" s="18">
        <f t="shared" si="17"/>
        <v>517</v>
      </c>
      <c r="M42" s="18">
        <f t="shared" si="18"/>
        <v>567</v>
      </c>
      <c r="N42" s="17" t="s">
        <v>18</v>
      </c>
      <c r="O42" s="16" t="s">
        <v>18</v>
      </c>
      <c r="P42" s="17" t="s">
        <v>18</v>
      </c>
      <c r="Q42" s="18">
        <v>12.425000000000001</v>
      </c>
      <c r="R42" s="19">
        <v>27.1</v>
      </c>
    </row>
    <row r="43" spans="2:18" x14ac:dyDescent="0.3">
      <c r="B43" s="33" t="s">
        <v>51</v>
      </c>
      <c r="C43" s="13" t="s">
        <v>17</v>
      </c>
      <c r="D43" s="8" t="s">
        <v>18</v>
      </c>
      <c r="E43" s="8" t="s">
        <v>18</v>
      </c>
      <c r="F43" s="9" t="s">
        <v>18</v>
      </c>
      <c r="G43" s="9" t="s">
        <v>18</v>
      </c>
      <c r="H43" s="10">
        <v>-13.675000000000001</v>
      </c>
      <c r="I43" s="10">
        <v>-11.175000000000001</v>
      </c>
      <c r="J43" s="7">
        <v>1</v>
      </c>
      <c r="K43" s="7">
        <v>3.5</v>
      </c>
      <c r="L43" s="11">
        <f>J43/0.05</f>
        <v>20</v>
      </c>
      <c r="M43" s="11">
        <f>K43/0.05</f>
        <v>70</v>
      </c>
      <c r="N43" s="9" t="s">
        <v>18</v>
      </c>
      <c r="O43" s="8" t="s">
        <v>18</v>
      </c>
      <c r="P43" s="9" t="s">
        <v>18</v>
      </c>
      <c r="Q43" s="10">
        <v>-12.425000000000001</v>
      </c>
      <c r="R43" s="12">
        <v>2.25</v>
      </c>
    </row>
    <row r="44" spans="2:18" x14ac:dyDescent="0.3">
      <c r="B44" s="34"/>
      <c r="C44" s="13" t="s">
        <v>19</v>
      </c>
      <c r="D44" s="11">
        <f>O44-N44</f>
        <v>2.9</v>
      </c>
      <c r="E44" s="11">
        <f>O44+N44</f>
        <v>3.9</v>
      </c>
      <c r="F44" s="13">
        <v>3</v>
      </c>
      <c r="G44" s="13">
        <v>-3</v>
      </c>
      <c r="H44" s="11">
        <f>Q44+N44</f>
        <v>-5.7750000000000004</v>
      </c>
      <c r="I44" s="11">
        <f>Q44-N44</f>
        <v>-6.7750000000000004</v>
      </c>
      <c r="J44" s="13">
        <f t="shared" ref="J44:J61" si="22">(Q44-N44)+(29.35/2)</f>
        <v>7.9</v>
      </c>
      <c r="K44" s="13">
        <f t="shared" ref="K44:K61" si="23">(Q44+N44)+(29.35/2)</f>
        <v>8.9</v>
      </c>
      <c r="L44" s="11">
        <f>J44/0.05</f>
        <v>158</v>
      </c>
      <c r="M44" s="11">
        <f>K44/0.05</f>
        <v>178</v>
      </c>
      <c r="N44" s="13">
        <v>0.5</v>
      </c>
      <c r="O44" s="11">
        <v>3.4</v>
      </c>
      <c r="P44" s="13">
        <v>0</v>
      </c>
      <c r="Q44" s="11">
        <v>-6.2750000000000004</v>
      </c>
      <c r="R44" s="14">
        <f>Q44+(29.35/2)</f>
        <v>8.4</v>
      </c>
    </row>
    <row r="45" spans="2:18" x14ac:dyDescent="0.3">
      <c r="B45" s="34"/>
      <c r="C45" s="13" t="s">
        <v>20</v>
      </c>
      <c r="D45" s="11">
        <f t="shared" ref="D45:D61" si="24">O45-N45</f>
        <v>1.6</v>
      </c>
      <c r="E45" s="11">
        <f t="shared" ref="E45:E61" si="25">O45+N45</f>
        <v>2.1</v>
      </c>
      <c r="F45" s="13">
        <v>3</v>
      </c>
      <c r="G45" s="13">
        <v>-3</v>
      </c>
      <c r="H45" s="11">
        <f t="shared" ref="H45:H52" si="26">Q45+N45</f>
        <v>-7.4749999999999996</v>
      </c>
      <c r="I45" s="11">
        <f t="shared" ref="I45:I52" si="27">Q45-N45</f>
        <v>-7.9749999999999996</v>
      </c>
      <c r="J45" s="13">
        <f t="shared" si="22"/>
        <v>6.7000000000000011</v>
      </c>
      <c r="K45" s="13">
        <f t="shared" si="23"/>
        <v>7.2000000000000011</v>
      </c>
      <c r="L45" s="11">
        <f t="shared" ref="L45:L62" si="28">J45/0.05</f>
        <v>134</v>
      </c>
      <c r="M45" s="11">
        <f t="shared" ref="M45:M62" si="29">K45/0.05</f>
        <v>144</v>
      </c>
      <c r="N45" s="13">
        <v>0.25</v>
      </c>
      <c r="O45" s="11">
        <v>1.85</v>
      </c>
      <c r="P45" s="13">
        <v>0</v>
      </c>
      <c r="Q45" s="11">
        <v>-7.7249999999999996</v>
      </c>
      <c r="R45" s="14">
        <f t="shared" ref="R45:R61" si="30">Q45+(29.35/2)</f>
        <v>6.9500000000000011</v>
      </c>
    </row>
    <row r="46" spans="2:18" x14ac:dyDescent="0.3">
      <c r="B46" s="34"/>
      <c r="C46" s="13" t="s">
        <v>21</v>
      </c>
      <c r="D46" s="11">
        <f t="shared" si="24"/>
        <v>0.6</v>
      </c>
      <c r="E46" s="11">
        <f t="shared" si="25"/>
        <v>0.9</v>
      </c>
      <c r="F46" s="13">
        <v>3</v>
      </c>
      <c r="G46" s="13">
        <v>-3</v>
      </c>
      <c r="H46" s="11">
        <f t="shared" si="26"/>
        <v>-4.5749999999999993</v>
      </c>
      <c r="I46" s="11">
        <f t="shared" si="27"/>
        <v>-4.875</v>
      </c>
      <c r="J46" s="13">
        <f t="shared" si="22"/>
        <v>9.8000000000000007</v>
      </c>
      <c r="K46" s="13">
        <f t="shared" si="23"/>
        <v>10.100000000000001</v>
      </c>
      <c r="L46" s="11">
        <f t="shared" si="28"/>
        <v>196</v>
      </c>
      <c r="M46" s="11">
        <f t="shared" si="29"/>
        <v>202.00000000000003</v>
      </c>
      <c r="N46" s="13">
        <v>0.15</v>
      </c>
      <c r="O46" s="11">
        <v>0.75</v>
      </c>
      <c r="P46" s="13">
        <v>0</v>
      </c>
      <c r="Q46" s="11">
        <v>-4.7249999999999996</v>
      </c>
      <c r="R46" s="14">
        <f t="shared" si="30"/>
        <v>9.9500000000000011</v>
      </c>
    </row>
    <row r="47" spans="2:18" x14ac:dyDescent="0.3">
      <c r="B47" s="34"/>
      <c r="C47" s="13" t="s">
        <v>22</v>
      </c>
      <c r="D47" s="11">
        <f t="shared" si="24"/>
        <v>-1.3</v>
      </c>
      <c r="E47" s="11">
        <f t="shared" si="25"/>
        <v>-0.30000000000000004</v>
      </c>
      <c r="F47" s="13">
        <v>0.5</v>
      </c>
      <c r="G47" s="13">
        <v>-0.5</v>
      </c>
      <c r="H47" s="11">
        <f t="shared" si="26"/>
        <v>-8.1750000000000007</v>
      </c>
      <c r="I47" s="11">
        <f t="shared" si="27"/>
        <v>-9.1750000000000007</v>
      </c>
      <c r="J47" s="13">
        <f t="shared" si="22"/>
        <v>5.5</v>
      </c>
      <c r="K47" s="13">
        <f t="shared" si="23"/>
        <v>6.5</v>
      </c>
      <c r="L47" s="11">
        <f t="shared" si="28"/>
        <v>110</v>
      </c>
      <c r="M47" s="11">
        <f t="shared" si="29"/>
        <v>130</v>
      </c>
      <c r="N47" s="13">
        <v>0.5</v>
      </c>
      <c r="O47" s="11">
        <v>-0.8</v>
      </c>
      <c r="P47" s="13">
        <v>0</v>
      </c>
      <c r="Q47" s="11">
        <v>-8.6750000000000007</v>
      </c>
      <c r="R47" s="14">
        <f t="shared" si="30"/>
        <v>6</v>
      </c>
    </row>
    <row r="48" spans="2:18" x14ac:dyDescent="0.3">
      <c r="B48" s="34"/>
      <c r="C48" s="13" t="s">
        <v>23</v>
      </c>
      <c r="D48" s="11">
        <f t="shared" si="24"/>
        <v>-2.6</v>
      </c>
      <c r="E48" s="11">
        <f t="shared" si="25"/>
        <v>-2.1</v>
      </c>
      <c r="F48" s="13">
        <v>0.25</v>
      </c>
      <c r="G48" s="13">
        <v>-0.25</v>
      </c>
      <c r="H48" s="11">
        <f t="shared" si="26"/>
        <v>-5.0750000000000002</v>
      </c>
      <c r="I48" s="11">
        <f t="shared" si="27"/>
        <v>-5.5750000000000002</v>
      </c>
      <c r="J48" s="13">
        <f t="shared" si="22"/>
        <v>9.1000000000000014</v>
      </c>
      <c r="K48" s="13">
        <f t="shared" si="23"/>
        <v>9.6000000000000014</v>
      </c>
      <c r="L48" s="11">
        <f t="shared" si="28"/>
        <v>182.00000000000003</v>
      </c>
      <c r="M48" s="11">
        <f t="shared" si="29"/>
        <v>192.00000000000003</v>
      </c>
      <c r="N48" s="13">
        <v>0.25</v>
      </c>
      <c r="O48" s="11">
        <v>-2.35</v>
      </c>
      <c r="P48" s="13">
        <v>0</v>
      </c>
      <c r="Q48" s="11">
        <v>-5.3250000000000002</v>
      </c>
      <c r="R48" s="14">
        <f t="shared" si="30"/>
        <v>9.3500000000000014</v>
      </c>
    </row>
    <row r="49" spans="2:18" x14ac:dyDescent="0.3">
      <c r="B49" s="34"/>
      <c r="C49" s="13" t="s">
        <v>24</v>
      </c>
      <c r="D49" s="11">
        <f t="shared" si="24"/>
        <v>-3.6999999999999997</v>
      </c>
      <c r="E49" s="11">
        <f t="shared" si="25"/>
        <v>-3.4</v>
      </c>
      <c r="F49" s="13">
        <v>0.15</v>
      </c>
      <c r="G49" s="13">
        <v>-0.15</v>
      </c>
      <c r="H49" s="11">
        <f t="shared" si="26"/>
        <v>-6.9749999999999996</v>
      </c>
      <c r="I49" s="11">
        <f t="shared" si="27"/>
        <v>-7.2750000000000004</v>
      </c>
      <c r="J49" s="13">
        <f t="shared" si="22"/>
        <v>7.4</v>
      </c>
      <c r="K49" s="13">
        <f t="shared" si="23"/>
        <v>7.7000000000000011</v>
      </c>
      <c r="L49" s="11">
        <f t="shared" si="28"/>
        <v>148</v>
      </c>
      <c r="M49" s="11">
        <f t="shared" si="29"/>
        <v>154</v>
      </c>
      <c r="N49" s="13">
        <v>0.15</v>
      </c>
      <c r="O49" s="11">
        <v>-3.55</v>
      </c>
      <c r="P49" s="13">
        <v>0</v>
      </c>
      <c r="Q49" s="11">
        <v>-7.125</v>
      </c>
      <c r="R49" s="14">
        <f t="shared" si="30"/>
        <v>7.5500000000000007</v>
      </c>
    </row>
    <row r="50" spans="2:18" x14ac:dyDescent="0.3">
      <c r="B50" s="34"/>
      <c r="C50" s="13" t="s">
        <v>25</v>
      </c>
      <c r="D50" s="11">
        <f t="shared" si="24"/>
        <v>2.9</v>
      </c>
      <c r="E50" s="11">
        <f t="shared" si="25"/>
        <v>3.9</v>
      </c>
      <c r="F50" s="13">
        <v>3</v>
      </c>
      <c r="G50" s="13">
        <v>-3</v>
      </c>
      <c r="H50" s="11">
        <f>Q50-N50</f>
        <v>-0.17499999999999999</v>
      </c>
      <c r="I50" s="11">
        <f>Q50+N50</f>
        <v>0.82499999999999996</v>
      </c>
      <c r="J50" s="13">
        <f t="shared" si="22"/>
        <v>14.5</v>
      </c>
      <c r="K50" s="13">
        <f t="shared" si="23"/>
        <v>15.5</v>
      </c>
      <c r="L50" s="11">
        <f t="shared" si="28"/>
        <v>290</v>
      </c>
      <c r="M50" s="11">
        <f t="shared" si="29"/>
        <v>310</v>
      </c>
      <c r="N50" s="13">
        <v>0.5</v>
      </c>
      <c r="O50" s="11">
        <v>3.4</v>
      </c>
      <c r="P50" s="13">
        <v>0</v>
      </c>
      <c r="Q50" s="11">
        <v>0.32500000000000001</v>
      </c>
      <c r="R50" s="14">
        <f t="shared" si="30"/>
        <v>15</v>
      </c>
    </row>
    <row r="51" spans="2:18" x14ac:dyDescent="0.3">
      <c r="B51" s="34"/>
      <c r="C51" s="13" t="s">
        <v>26</v>
      </c>
      <c r="D51" s="11">
        <f t="shared" si="24"/>
        <v>1.6</v>
      </c>
      <c r="E51" s="11">
        <f t="shared" si="25"/>
        <v>2.1</v>
      </c>
      <c r="F51" s="13">
        <v>3</v>
      </c>
      <c r="G51" s="13">
        <v>-3</v>
      </c>
      <c r="H51" s="11">
        <f t="shared" si="26"/>
        <v>-0.875</v>
      </c>
      <c r="I51" s="11">
        <f t="shared" si="27"/>
        <v>-1.375</v>
      </c>
      <c r="J51" s="13">
        <f t="shared" si="22"/>
        <v>13.3</v>
      </c>
      <c r="K51" s="13">
        <f t="shared" si="23"/>
        <v>13.8</v>
      </c>
      <c r="L51" s="11">
        <f t="shared" si="28"/>
        <v>266</v>
      </c>
      <c r="M51" s="11">
        <f t="shared" si="29"/>
        <v>276</v>
      </c>
      <c r="N51" s="13">
        <v>0.25</v>
      </c>
      <c r="O51" s="11">
        <v>1.85</v>
      </c>
      <c r="P51" s="13">
        <v>0</v>
      </c>
      <c r="Q51" s="11">
        <v>-1.125</v>
      </c>
      <c r="R51" s="14">
        <f t="shared" si="30"/>
        <v>13.55</v>
      </c>
    </row>
    <row r="52" spans="2:18" x14ac:dyDescent="0.3">
      <c r="B52" s="34"/>
      <c r="C52" s="13" t="s">
        <v>27</v>
      </c>
      <c r="D52" s="11">
        <f t="shared" si="24"/>
        <v>0.6</v>
      </c>
      <c r="E52" s="11">
        <f t="shared" si="25"/>
        <v>0.9</v>
      </c>
      <c r="F52" s="13">
        <v>3</v>
      </c>
      <c r="G52" s="13">
        <v>-3</v>
      </c>
      <c r="H52" s="11">
        <f t="shared" si="26"/>
        <v>2.0249999999999999</v>
      </c>
      <c r="I52" s="11">
        <f t="shared" si="27"/>
        <v>1.7250000000000001</v>
      </c>
      <c r="J52" s="13">
        <f t="shared" si="22"/>
        <v>16.400000000000002</v>
      </c>
      <c r="K52" s="13">
        <f t="shared" si="23"/>
        <v>16.7</v>
      </c>
      <c r="L52" s="11">
        <f t="shared" si="28"/>
        <v>328</v>
      </c>
      <c r="M52" s="11">
        <f t="shared" si="29"/>
        <v>333.99999999999994</v>
      </c>
      <c r="N52" s="13">
        <v>0.15</v>
      </c>
      <c r="O52" s="11">
        <v>0.75</v>
      </c>
      <c r="P52" s="13">
        <v>0</v>
      </c>
      <c r="Q52" s="11">
        <v>1.875</v>
      </c>
      <c r="R52" s="14">
        <f t="shared" si="30"/>
        <v>16.55</v>
      </c>
    </row>
    <row r="53" spans="2:18" x14ac:dyDescent="0.3">
      <c r="B53" s="34"/>
      <c r="C53" s="13" t="s">
        <v>28</v>
      </c>
      <c r="D53" s="11">
        <f t="shared" si="24"/>
        <v>-1.3</v>
      </c>
      <c r="E53" s="11">
        <f t="shared" si="25"/>
        <v>-0.30000000000000004</v>
      </c>
      <c r="F53" s="13">
        <v>0.5</v>
      </c>
      <c r="G53" s="13">
        <v>-0.5</v>
      </c>
      <c r="H53" s="11">
        <f>Q53-N53</f>
        <v>-2.5750000000000002</v>
      </c>
      <c r="I53" s="11">
        <f>Q53+N53</f>
        <v>-1.5750000000000002</v>
      </c>
      <c r="J53" s="13">
        <f t="shared" si="22"/>
        <v>12.100000000000001</v>
      </c>
      <c r="K53" s="13">
        <f t="shared" si="23"/>
        <v>13.100000000000001</v>
      </c>
      <c r="L53" s="11">
        <f t="shared" si="28"/>
        <v>242.00000000000003</v>
      </c>
      <c r="M53" s="11">
        <f t="shared" si="29"/>
        <v>262</v>
      </c>
      <c r="N53" s="13">
        <v>0.5</v>
      </c>
      <c r="O53" s="11">
        <v>-0.8</v>
      </c>
      <c r="P53" s="13">
        <v>0</v>
      </c>
      <c r="Q53" s="11">
        <v>-2.0750000000000002</v>
      </c>
      <c r="R53" s="14">
        <f t="shared" si="30"/>
        <v>12.600000000000001</v>
      </c>
    </row>
    <row r="54" spans="2:18" x14ac:dyDescent="0.3">
      <c r="B54" s="34"/>
      <c r="C54" s="13" t="s">
        <v>29</v>
      </c>
      <c r="D54" s="11">
        <f t="shared" si="24"/>
        <v>-2.6</v>
      </c>
      <c r="E54" s="11">
        <f t="shared" si="25"/>
        <v>-2.1</v>
      </c>
      <c r="F54" s="13">
        <v>0.25</v>
      </c>
      <c r="G54" s="13">
        <v>-0.25</v>
      </c>
      <c r="H54" s="11">
        <f>Q54-N54</f>
        <v>1.0249999999999999</v>
      </c>
      <c r="I54" s="11">
        <f>Q54+N54</f>
        <v>1.5249999999999999</v>
      </c>
      <c r="J54" s="13">
        <f t="shared" si="22"/>
        <v>15.700000000000001</v>
      </c>
      <c r="K54" s="13">
        <f t="shared" si="23"/>
        <v>16.2</v>
      </c>
      <c r="L54" s="11">
        <f t="shared" si="28"/>
        <v>314</v>
      </c>
      <c r="M54" s="11">
        <f t="shared" si="29"/>
        <v>323.99999999999994</v>
      </c>
      <c r="N54" s="13">
        <v>0.25</v>
      </c>
      <c r="O54" s="11">
        <v>-2.35</v>
      </c>
      <c r="P54" s="13">
        <v>0</v>
      </c>
      <c r="Q54" s="11">
        <v>1.2749999999999999</v>
      </c>
      <c r="R54" s="14">
        <f t="shared" si="30"/>
        <v>15.950000000000001</v>
      </c>
    </row>
    <row r="55" spans="2:18" x14ac:dyDescent="0.3">
      <c r="B55" s="34"/>
      <c r="C55" s="13" t="s">
        <v>30</v>
      </c>
      <c r="D55" s="11">
        <f t="shared" si="24"/>
        <v>-3.6999999999999997</v>
      </c>
      <c r="E55" s="11">
        <f t="shared" si="25"/>
        <v>-3.4</v>
      </c>
      <c r="F55" s="13">
        <v>0.15</v>
      </c>
      <c r="G55" s="13">
        <v>-0.15</v>
      </c>
      <c r="H55" s="11">
        <f t="shared" ref="H55:H61" si="31">Q55-N55</f>
        <v>-0.67500000000000004</v>
      </c>
      <c r="I55" s="11">
        <f t="shared" ref="I55:I61" si="32">Q55+N55</f>
        <v>-0.375</v>
      </c>
      <c r="J55" s="13">
        <f t="shared" si="22"/>
        <v>14</v>
      </c>
      <c r="K55" s="13">
        <f t="shared" si="23"/>
        <v>14.3</v>
      </c>
      <c r="L55" s="11">
        <f t="shared" si="28"/>
        <v>280</v>
      </c>
      <c r="M55" s="11">
        <f t="shared" si="29"/>
        <v>286</v>
      </c>
      <c r="N55" s="13">
        <v>0.15</v>
      </c>
      <c r="O55" s="11">
        <v>-3.55</v>
      </c>
      <c r="P55" s="13">
        <v>0</v>
      </c>
      <c r="Q55" s="11">
        <v>-0.52500000000000002</v>
      </c>
      <c r="R55" s="14">
        <f t="shared" si="30"/>
        <v>14.15</v>
      </c>
    </row>
    <row r="56" spans="2:18" x14ac:dyDescent="0.3">
      <c r="B56" s="34"/>
      <c r="C56" s="13" t="s">
        <v>31</v>
      </c>
      <c r="D56" s="11">
        <f t="shared" si="24"/>
        <v>2.9</v>
      </c>
      <c r="E56" s="11">
        <f t="shared" si="25"/>
        <v>3.9</v>
      </c>
      <c r="F56" s="13">
        <v>3</v>
      </c>
      <c r="G56" s="13">
        <v>-3</v>
      </c>
      <c r="H56" s="11">
        <f t="shared" si="31"/>
        <v>6.4249999999999998</v>
      </c>
      <c r="I56" s="11">
        <f t="shared" si="32"/>
        <v>7.4249999999999998</v>
      </c>
      <c r="J56" s="13">
        <f t="shared" si="22"/>
        <v>21.1</v>
      </c>
      <c r="K56" s="13">
        <f t="shared" si="23"/>
        <v>22.1</v>
      </c>
      <c r="L56" s="11">
        <f t="shared" si="28"/>
        <v>422</v>
      </c>
      <c r="M56" s="11">
        <f t="shared" si="29"/>
        <v>442</v>
      </c>
      <c r="N56" s="13">
        <v>0.5</v>
      </c>
      <c r="O56" s="11">
        <v>3.4</v>
      </c>
      <c r="P56" s="13">
        <v>0</v>
      </c>
      <c r="Q56" s="11">
        <v>6.9249999999999998</v>
      </c>
      <c r="R56" s="14">
        <f t="shared" si="30"/>
        <v>21.6</v>
      </c>
    </row>
    <row r="57" spans="2:18" x14ac:dyDescent="0.3">
      <c r="B57" s="34"/>
      <c r="C57" s="13" t="s">
        <v>32</v>
      </c>
      <c r="D57" s="11">
        <f t="shared" si="24"/>
        <v>1.6</v>
      </c>
      <c r="E57" s="11">
        <f t="shared" si="25"/>
        <v>2.1</v>
      </c>
      <c r="F57" s="13">
        <v>3</v>
      </c>
      <c r="G57" s="13">
        <v>-3</v>
      </c>
      <c r="H57" s="11">
        <f t="shared" si="31"/>
        <v>5.2249999999999996</v>
      </c>
      <c r="I57" s="11">
        <f t="shared" si="32"/>
        <v>5.7249999999999996</v>
      </c>
      <c r="J57" s="13">
        <f t="shared" si="22"/>
        <v>19.899999999999999</v>
      </c>
      <c r="K57" s="13">
        <f t="shared" si="23"/>
        <v>20.399999999999999</v>
      </c>
      <c r="L57" s="11">
        <f t="shared" si="28"/>
        <v>397.99999999999994</v>
      </c>
      <c r="M57" s="11">
        <f t="shared" si="29"/>
        <v>407.99999999999994</v>
      </c>
      <c r="N57" s="13">
        <v>0.25</v>
      </c>
      <c r="O57" s="11">
        <v>1.85</v>
      </c>
      <c r="P57" s="13">
        <v>0</v>
      </c>
      <c r="Q57" s="11">
        <v>5.4749999999999996</v>
      </c>
      <c r="R57" s="14">
        <f t="shared" si="30"/>
        <v>20.149999999999999</v>
      </c>
    </row>
    <row r="58" spans="2:18" x14ac:dyDescent="0.3">
      <c r="B58" s="34"/>
      <c r="C58" s="13" t="s">
        <v>33</v>
      </c>
      <c r="D58" s="11">
        <f t="shared" si="24"/>
        <v>0.6</v>
      </c>
      <c r="E58" s="11">
        <f t="shared" si="25"/>
        <v>0.9</v>
      </c>
      <c r="F58" s="13">
        <v>3</v>
      </c>
      <c r="G58" s="13">
        <v>-3</v>
      </c>
      <c r="H58" s="11">
        <f t="shared" si="31"/>
        <v>8.3249999999999993</v>
      </c>
      <c r="I58" s="11">
        <f t="shared" si="32"/>
        <v>8.625</v>
      </c>
      <c r="J58" s="13">
        <f t="shared" si="22"/>
        <v>23</v>
      </c>
      <c r="K58" s="13">
        <f t="shared" si="23"/>
        <v>23.3</v>
      </c>
      <c r="L58" s="11">
        <f t="shared" si="28"/>
        <v>460</v>
      </c>
      <c r="M58" s="11">
        <f t="shared" si="29"/>
        <v>466</v>
      </c>
      <c r="N58" s="13">
        <v>0.15</v>
      </c>
      <c r="O58" s="11">
        <v>0.75</v>
      </c>
      <c r="P58" s="13">
        <v>0</v>
      </c>
      <c r="Q58" s="11">
        <v>8.4749999999999996</v>
      </c>
      <c r="R58" s="14">
        <f t="shared" si="30"/>
        <v>23.15</v>
      </c>
    </row>
    <row r="59" spans="2:18" x14ac:dyDescent="0.3">
      <c r="B59" s="34"/>
      <c r="C59" s="13" t="s">
        <v>34</v>
      </c>
      <c r="D59" s="11">
        <f t="shared" si="24"/>
        <v>-1.3</v>
      </c>
      <c r="E59" s="11">
        <f t="shared" si="25"/>
        <v>-0.30000000000000004</v>
      </c>
      <c r="F59" s="13">
        <v>0.5</v>
      </c>
      <c r="G59" s="13">
        <v>-0.5</v>
      </c>
      <c r="H59" s="11">
        <f t="shared" si="31"/>
        <v>4.0250000000000004</v>
      </c>
      <c r="I59" s="11">
        <f t="shared" si="32"/>
        <v>5.0250000000000004</v>
      </c>
      <c r="J59" s="13">
        <f t="shared" si="22"/>
        <v>18.700000000000003</v>
      </c>
      <c r="K59" s="13">
        <f t="shared" si="23"/>
        <v>19.700000000000003</v>
      </c>
      <c r="L59" s="11">
        <f t="shared" si="28"/>
        <v>374.00000000000006</v>
      </c>
      <c r="M59" s="11">
        <f t="shared" si="29"/>
        <v>394.00000000000006</v>
      </c>
      <c r="N59" s="13">
        <v>0.5</v>
      </c>
      <c r="O59" s="11">
        <v>-0.8</v>
      </c>
      <c r="P59" s="13">
        <v>0</v>
      </c>
      <c r="Q59" s="11">
        <v>4.5250000000000004</v>
      </c>
      <c r="R59" s="14">
        <f t="shared" si="30"/>
        <v>19.200000000000003</v>
      </c>
    </row>
    <row r="60" spans="2:18" x14ac:dyDescent="0.3">
      <c r="B60" s="34"/>
      <c r="C60" s="13" t="s">
        <v>35</v>
      </c>
      <c r="D60" s="11">
        <f t="shared" si="24"/>
        <v>-2.6</v>
      </c>
      <c r="E60" s="11">
        <f t="shared" si="25"/>
        <v>-2.1</v>
      </c>
      <c r="F60" s="13">
        <v>0.25</v>
      </c>
      <c r="G60" s="13">
        <v>-0.25</v>
      </c>
      <c r="H60" s="11">
        <f t="shared" si="31"/>
        <v>7.625</v>
      </c>
      <c r="I60" s="11">
        <f t="shared" si="32"/>
        <v>8.125</v>
      </c>
      <c r="J60" s="13">
        <f t="shared" si="22"/>
        <v>22.3</v>
      </c>
      <c r="K60" s="13">
        <f t="shared" si="23"/>
        <v>22.8</v>
      </c>
      <c r="L60" s="11">
        <f t="shared" si="28"/>
        <v>446</v>
      </c>
      <c r="M60" s="11">
        <f t="shared" si="29"/>
        <v>456</v>
      </c>
      <c r="N60" s="13">
        <v>0.25</v>
      </c>
      <c r="O60" s="11">
        <v>-2.35</v>
      </c>
      <c r="P60" s="13">
        <v>0</v>
      </c>
      <c r="Q60" s="11">
        <v>7.875</v>
      </c>
      <c r="R60" s="14">
        <f t="shared" si="30"/>
        <v>22.55</v>
      </c>
    </row>
    <row r="61" spans="2:18" x14ac:dyDescent="0.3">
      <c r="B61" s="34"/>
      <c r="C61" s="13" t="s">
        <v>36</v>
      </c>
      <c r="D61" s="11">
        <f t="shared" si="24"/>
        <v>-3.6999999999999997</v>
      </c>
      <c r="E61" s="11">
        <f t="shared" si="25"/>
        <v>-3.4</v>
      </c>
      <c r="F61" s="13">
        <v>0.15</v>
      </c>
      <c r="G61" s="13">
        <v>-0.15</v>
      </c>
      <c r="H61" s="11">
        <f t="shared" si="31"/>
        <v>5.9249999999999998</v>
      </c>
      <c r="I61" s="11">
        <f t="shared" si="32"/>
        <v>6.2250000000000005</v>
      </c>
      <c r="J61" s="13">
        <f t="shared" si="22"/>
        <v>20.6</v>
      </c>
      <c r="K61" s="13">
        <f t="shared" si="23"/>
        <v>20.900000000000002</v>
      </c>
      <c r="L61" s="11">
        <f t="shared" si="28"/>
        <v>412</v>
      </c>
      <c r="M61" s="11">
        <f t="shared" si="29"/>
        <v>418</v>
      </c>
      <c r="N61" s="13">
        <v>0.15</v>
      </c>
      <c r="O61" s="11">
        <v>-3.55</v>
      </c>
      <c r="P61" s="13">
        <v>0</v>
      </c>
      <c r="Q61" s="11">
        <v>6.0750000000000002</v>
      </c>
      <c r="R61" s="14">
        <f t="shared" si="30"/>
        <v>20.75</v>
      </c>
    </row>
    <row r="62" spans="2:18" ht="15" thickBot="1" x14ac:dyDescent="0.35">
      <c r="B62" s="35"/>
      <c r="C62" s="15" t="s">
        <v>53</v>
      </c>
      <c r="D62" s="16" t="s">
        <v>18</v>
      </c>
      <c r="E62" s="16" t="s">
        <v>18</v>
      </c>
      <c r="F62" s="17" t="s">
        <v>18</v>
      </c>
      <c r="G62" s="17" t="s">
        <v>18</v>
      </c>
      <c r="H62" s="18">
        <v>11.175000000000001</v>
      </c>
      <c r="I62" s="18">
        <v>13.675000000000001</v>
      </c>
      <c r="J62" s="15">
        <v>25.85</v>
      </c>
      <c r="K62" s="15">
        <v>28.35</v>
      </c>
      <c r="L62" s="18">
        <f t="shared" si="28"/>
        <v>517</v>
      </c>
      <c r="M62" s="18">
        <f t="shared" si="29"/>
        <v>567</v>
      </c>
      <c r="N62" s="17" t="s">
        <v>18</v>
      </c>
      <c r="O62" s="16" t="s">
        <v>18</v>
      </c>
      <c r="P62" s="17" t="s">
        <v>18</v>
      </c>
      <c r="Q62" s="18">
        <v>12.425000000000001</v>
      </c>
      <c r="R62" s="19">
        <v>27.1</v>
      </c>
    </row>
    <row r="63" spans="2:18" x14ac:dyDescent="0.3">
      <c r="B63" s="33" t="s">
        <v>52</v>
      </c>
      <c r="C63" s="13" t="s">
        <v>17</v>
      </c>
      <c r="D63" s="8" t="s">
        <v>18</v>
      </c>
      <c r="E63" s="8" t="s">
        <v>18</v>
      </c>
      <c r="F63" s="9" t="s">
        <v>18</v>
      </c>
      <c r="G63" s="9" t="s">
        <v>18</v>
      </c>
      <c r="H63" s="10">
        <v>-13.675000000000001</v>
      </c>
      <c r="I63" s="10">
        <v>-11.175000000000001</v>
      </c>
      <c r="J63" s="7">
        <v>1</v>
      </c>
      <c r="K63" s="7">
        <v>3.5</v>
      </c>
      <c r="L63" s="11">
        <f>J63/0.05</f>
        <v>20</v>
      </c>
      <c r="M63" s="11">
        <f>K63/0.05</f>
        <v>70</v>
      </c>
      <c r="N63" s="9" t="s">
        <v>18</v>
      </c>
      <c r="O63" s="8" t="s">
        <v>18</v>
      </c>
      <c r="P63" s="9" t="s">
        <v>18</v>
      </c>
      <c r="Q63" s="10">
        <v>-12.425000000000001</v>
      </c>
      <c r="R63" s="12">
        <v>2.25</v>
      </c>
    </row>
    <row r="64" spans="2:18" x14ac:dyDescent="0.3">
      <c r="B64" s="34"/>
      <c r="C64" s="13" t="s">
        <v>19</v>
      </c>
      <c r="D64" s="11">
        <f>O64-N64</f>
        <v>2.9</v>
      </c>
      <c r="E64" s="11">
        <f>O64+N64</f>
        <v>3.9</v>
      </c>
      <c r="F64" s="13">
        <v>3</v>
      </c>
      <c r="G64" s="13">
        <v>-3</v>
      </c>
      <c r="H64" s="11">
        <f>Q64+N64</f>
        <v>-5.7750000000000004</v>
      </c>
      <c r="I64" s="11">
        <f>Q64-N64</f>
        <v>-6.7750000000000004</v>
      </c>
      <c r="J64" s="13">
        <f t="shared" ref="J64:J81" si="33">(Q64-N64)+(29.35/2)</f>
        <v>7.9</v>
      </c>
      <c r="K64" s="13">
        <f t="shared" ref="K64:K81" si="34">(Q64+N64)+(29.35/2)</f>
        <v>8.9</v>
      </c>
      <c r="L64" s="11">
        <f>J64/0.05</f>
        <v>158</v>
      </c>
      <c r="M64" s="11">
        <f>K64/0.05</f>
        <v>178</v>
      </c>
      <c r="N64" s="13">
        <v>0.5</v>
      </c>
      <c r="O64" s="11">
        <v>3.4</v>
      </c>
      <c r="P64" s="13">
        <v>0</v>
      </c>
      <c r="Q64" s="11">
        <v>-6.2750000000000004</v>
      </c>
      <c r="R64" s="14">
        <f>Q64+(29.35/2)</f>
        <v>8.4</v>
      </c>
    </row>
    <row r="65" spans="2:18" x14ac:dyDescent="0.3">
      <c r="B65" s="34"/>
      <c r="C65" s="13" t="s">
        <v>20</v>
      </c>
      <c r="D65" s="11">
        <f t="shared" ref="D65:D81" si="35">O65-N65</f>
        <v>1.6</v>
      </c>
      <c r="E65" s="11">
        <f t="shared" ref="E65:E81" si="36">O65+N65</f>
        <v>2.1</v>
      </c>
      <c r="F65" s="13">
        <v>3</v>
      </c>
      <c r="G65" s="13">
        <v>-3</v>
      </c>
      <c r="H65" s="11">
        <f t="shared" ref="H65:H69" si="37">Q65+N65</f>
        <v>-5.0750000000000002</v>
      </c>
      <c r="I65" s="11">
        <f t="shared" ref="I65:I69" si="38">Q65-N65</f>
        <v>-5.5750000000000002</v>
      </c>
      <c r="J65" s="13">
        <f t="shared" si="33"/>
        <v>9.1000000000000014</v>
      </c>
      <c r="K65" s="13">
        <f t="shared" si="34"/>
        <v>9.6000000000000014</v>
      </c>
      <c r="L65" s="11">
        <f t="shared" ref="L65:L82" si="39">J65/0.05</f>
        <v>182.00000000000003</v>
      </c>
      <c r="M65" s="11">
        <f t="shared" ref="M65:M82" si="40">K65/0.05</f>
        <v>192.00000000000003</v>
      </c>
      <c r="N65" s="13">
        <v>0.25</v>
      </c>
      <c r="O65" s="11">
        <v>1.85</v>
      </c>
      <c r="P65" s="13">
        <v>0</v>
      </c>
      <c r="Q65" s="11">
        <v>-5.3250000000000002</v>
      </c>
      <c r="R65" s="14">
        <f t="shared" ref="R65:R81" si="41">Q65+(29.35/2)</f>
        <v>9.3500000000000014</v>
      </c>
    </row>
    <row r="66" spans="2:18" x14ac:dyDescent="0.3">
      <c r="B66" s="34"/>
      <c r="C66" s="13" t="s">
        <v>21</v>
      </c>
      <c r="D66" s="11">
        <f t="shared" si="35"/>
        <v>0.6</v>
      </c>
      <c r="E66" s="11">
        <f t="shared" si="36"/>
        <v>0.9</v>
      </c>
      <c r="F66" s="13">
        <v>3</v>
      </c>
      <c r="G66" s="13">
        <v>-3</v>
      </c>
      <c r="H66" s="11">
        <f t="shared" si="37"/>
        <v>-4.5749999999999993</v>
      </c>
      <c r="I66" s="11">
        <f t="shared" si="38"/>
        <v>-4.875</v>
      </c>
      <c r="J66" s="13">
        <f t="shared" si="33"/>
        <v>9.8000000000000007</v>
      </c>
      <c r="K66" s="13">
        <f t="shared" si="34"/>
        <v>10.100000000000001</v>
      </c>
      <c r="L66" s="11">
        <f t="shared" si="39"/>
        <v>196</v>
      </c>
      <c r="M66" s="11">
        <f t="shared" si="40"/>
        <v>202.00000000000003</v>
      </c>
      <c r="N66" s="13">
        <v>0.15</v>
      </c>
      <c r="O66" s="11">
        <v>0.75</v>
      </c>
      <c r="P66" s="13">
        <v>0</v>
      </c>
      <c r="Q66" s="11">
        <v>-4.7249999999999996</v>
      </c>
      <c r="R66" s="14">
        <f t="shared" si="41"/>
        <v>9.9500000000000011</v>
      </c>
    </row>
    <row r="67" spans="2:18" x14ac:dyDescent="0.3">
      <c r="B67" s="34"/>
      <c r="C67" s="13" t="s">
        <v>22</v>
      </c>
      <c r="D67" s="11">
        <f t="shared" si="35"/>
        <v>-1.3</v>
      </c>
      <c r="E67" s="11">
        <f t="shared" si="36"/>
        <v>-0.30000000000000004</v>
      </c>
      <c r="F67" s="13">
        <v>0.5</v>
      </c>
      <c r="G67" s="13">
        <v>-0.5</v>
      </c>
      <c r="H67" s="11">
        <f t="shared" si="37"/>
        <v>-8.1750000000000007</v>
      </c>
      <c r="I67" s="11">
        <f t="shared" si="38"/>
        <v>-9.1750000000000007</v>
      </c>
      <c r="J67" s="13">
        <f t="shared" si="33"/>
        <v>5.5</v>
      </c>
      <c r="K67" s="13">
        <f t="shared" si="34"/>
        <v>6.5</v>
      </c>
      <c r="L67" s="11">
        <f t="shared" si="39"/>
        <v>110</v>
      </c>
      <c r="M67" s="11">
        <f t="shared" si="40"/>
        <v>130</v>
      </c>
      <c r="N67" s="13">
        <v>0.5</v>
      </c>
      <c r="O67" s="11">
        <v>-0.8</v>
      </c>
      <c r="P67" s="13">
        <v>0</v>
      </c>
      <c r="Q67" s="11">
        <v>-8.6750000000000007</v>
      </c>
      <c r="R67" s="14">
        <f t="shared" si="41"/>
        <v>6</v>
      </c>
    </row>
    <row r="68" spans="2:18" x14ac:dyDescent="0.3">
      <c r="B68" s="34"/>
      <c r="C68" s="13" t="s">
        <v>23</v>
      </c>
      <c r="D68" s="11">
        <f t="shared" si="35"/>
        <v>-2.6</v>
      </c>
      <c r="E68" s="11">
        <f t="shared" si="36"/>
        <v>-2.1</v>
      </c>
      <c r="F68" s="13">
        <v>0.25</v>
      </c>
      <c r="G68" s="13">
        <v>-0.25</v>
      </c>
      <c r="H68" s="11">
        <f t="shared" si="37"/>
        <v>-7.4749999999999996</v>
      </c>
      <c r="I68" s="11">
        <f t="shared" si="38"/>
        <v>-7.9749999999999996</v>
      </c>
      <c r="J68" s="13">
        <f t="shared" si="33"/>
        <v>6.7000000000000011</v>
      </c>
      <c r="K68" s="13">
        <f t="shared" si="34"/>
        <v>7.2000000000000011</v>
      </c>
      <c r="L68" s="11">
        <f t="shared" si="39"/>
        <v>134</v>
      </c>
      <c r="M68" s="11">
        <f t="shared" si="40"/>
        <v>144</v>
      </c>
      <c r="N68" s="13">
        <v>0.25</v>
      </c>
      <c r="O68" s="11">
        <v>-2.35</v>
      </c>
      <c r="P68" s="13">
        <v>0</v>
      </c>
      <c r="Q68" s="11">
        <v>-7.7249999999999996</v>
      </c>
      <c r="R68" s="14">
        <f t="shared" si="41"/>
        <v>6.9500000000000011</v>
      </c>
    </row>
    <row r="69" spans="2:18" x14ac:dyDescent="0.3">
      <c r="B69" s="34"/>
      <c r="C69" s="13" t="s">
        <v>24</v>
      </c>
      <c r="D69" s="11">
        <f t="shared" si="35"/>
        <v>-3.6999999999999997</v>
      </c>
      <c r="E69" s="11">
        <f t="shared" si="36"/>
        <v>-3.4</v>
      </c>
      <c r="F69" s="13">
        <v>0.15</v>
      </c>
      <c r="G69" s="13">
        <v>-0.15</v>
      </c>
      <c r="H69" s="11">
        <f t="shared" si="37"/>
        <v>-6.9749999999999996</v>
      </c>
      <c r="I69" s="11">
        <f t="shared" si="38"/>
        <v>-7.2750000000000004</v>
      </c>
      <c r="J69" s="13">
        <f t="shared" si="33"/>
        <v>7.4</v>
      </c>
      <c r="K69" s="13">
        <f t="shared" si="34"/>
        <v>7.7000000000000011</v>
      </c>
      <c r="L69" s="11">
        <f t="shared" si="39"/>
        <v>148</v>
      </c>
      <c r="M69" s="11">
        <f t="shared" si="40"/>
        <v>154</v>
      </c>
      <c r="N69" s="13">
        <v>0.15</v>
      </c>
      <c r="O69" s="11">
        <v>-3.55</v>
      </c>
      <c r="P69" s="13">
        <v>0</v>
      </c>
      <c r="Q69" s="11">
        <v>-7.125</v>
      </c>
      <c r="R69" s="14">
        <f t="shared" si="41"/>
        <v>7.5500000000000007</v>
      </c>
    </row>
    <row r="70" spans="2:18" x14ac:dyDescent="0.3">
      <c r="B70" s="34"/>
      <c r="C70" s="13" t="s">
        <v>25</v>
      </c>
      <c r="D70" s="11">
        <f t="shared" si="35"/>
        <v>2.9</v>
      </c>
      <c r="E70" s="11">
        <f t="shared" si="36"/>
        <v>3.9</v>
      </c>
      <c r="F70" s="13">
        <v>3</v>
      </c>
      <c r="G70" s="13">
        <v>-3</v>
      </c>
      <c r="H70" s="11">
        <f>Q70-N70</f>
        <v>-0.17499999999999999</v>
      </c>
      <c r="I70" s="11">
        <f>Q70+N70</f>
        <v>0.82499999999999996</v>
      </c>
      <c r="J70" s="13">
        <f t="shared" si="33"/>
        <v>14.5</v>
      </c>
      <c r="K70" s="13">
        <f t="shared" si="34"/>
        <v>15.5</v>
      </c>
      <c r="L70" s="11">
        <f t="shared" si="39"/>
        <v>290</v>
      </c>
      <c r="M70" s="11">
        <f t="shared" si="40"/>
        <v>310</v>
      </c>
      <c r="N70" s="13">
        <v>0.5</v>
      </c>
      <c r="O70" s="11">
        <v>3.4</v>
      </c>
      <c r="P70" s="13">
        <v>0</v>
      </c>
      <c r="Q70" s="11">
        <v>0.32500000000000001</v>
      </c>
      <c r="R70" s="14">
        <f t="shared" si="41"/>
        <v>15</v>
      </c>
    </row>
    <row r="71" spans="2:18" x14ac:dyDescent="0.3">
      <c r="B71" s="34"/>
      <c r="C71" s="13" t="s">
        <v>26</v>
      </c>
      <c r="D71" s="11">
        <f t="shared" si="35"/>
        <v>1.6</v>
      </c>
      <c r="E71" s="11">
        <f t="shared" si="36"/>
        <v>2.1</v>
      </c>
      <c r="F71" s="13">
        <v>3</v>
      </c>
      <c r="G71" s="13">
        <v>-3</v>
      </c>
      <c r="H71" s="11">
        <f t="shared" ref="H71:H72" si="42">Q71+N71</f>
        <v>1.5249999999999999</v>
      </c>
      <c r="I71" s="11">
        <f t="shared" ref="I71:I72" si="43">Q71-N71</f>
        <v>1.0249999999999999</v>
      </c>
      <c r="J71" s="13">
        <f t="shared" si="33"/>
        <v>15.700000000000001</v>
      </c>
      <c r="K71" s="13">
        <f t="shared" si="34"/>
        <v>16.2</v>
      </c>
      <c r="L71" s="11">
        <f t="shared" si="39"/>
        <v>314</v>
      </c>
      <c r="M71" s="11">
        <f t="shared" si="40"/>
        <v>323.99999999999994</v>
      </c>
      <c r="N71" s="13">
        <v>0.25</v>
      </c>
      <c r="O71" s="11">
        <v>1.85</v>
      </c>
      <c r="P71" s="13">
        <v>0</v>
      </c>
      <c r="Q71" s="11">
        <v>1.2749999999999999</v>
      </c>
      <c r="R71" s="14">
        <f t="shared" si="41"/>
        <v>15.950000000000001</v>
      </c>
    </row>
    <row r="72" spans="2:18" x14ac:dyDescent="0.3">
      <c r="B72" s="34"/>
      <c r="C72" s="13" t="s">
        <v>27</v>
      </c>
      <c r="D72" s="11">
        <f t="shared" si="35"/>
        <v>0.6</v>
      </c>
      <c r="E72" s="11">
        <f t="shared" si="36"/>
        <v>0.9</v>
      </c>
      <c r="F72" s="13">
        <v>3</v>
      </c>
      <c r="G72" s="13">
        <v>-3</v>
      </c>
      <c r="H72" s="11">
        <f t="shared" si="42"/>
        <v>2.0249999999999999</v>
      </c>
      <c r="I72" s="11">
        <f t="shared" si="43"/>
        <v>1.7250000000000001</v>
      </c>
      <c r="J72" s="13">
        <f t="shared" si="33"/>
        <v>16.400000000000002</v>
      </c>
      <c r="K72" s="13">
        <f t="shared" si="34"/>
        <v>16.7</v>
      </c>
      <c r="L72" s="11">
        <f t="shared" si="39"/>
        <v>328</v>
      </c>
      <c r="M72" s="11">
        <f t="shared" si="40"/>
        <v>333.99999999999994</v>
      </c>
      <c r="N72" s="13">
        <v>0.15</v>
      </c>
      <c r="O72" s="11">
        <v>0.75</v>
      </c>
      <c r="P72" s="13">
        <v>0</v>
      </c>
      <c r="Q72" s="11">
        <v>1.875</v>
      </c>
      <c r="R72" s="14">
        <f t="shared" si="41"/>
        <v>16.55</v>
      </c>
    </row>
    <row r="73" spans="2:18" x14ac:dyDescent="0.3">
      <c r="B73" s="34"/>
      <c r="C73" s="13" t="s">
        <v>28</v>
      </c>
      <c r="D73" s="11">
        <f t="shared" si="35"/>
        <v>-1.3</v>
      </c>
      <c r="E73" s="11">
        <f t="shared" si="36"/>
        <v>-0.30000000000000004</v>
      </c>
      <c r="F73" s="13">
        <v>0.5</v>
      </c>
      <c r="G73" s="13">
        <v>-0.5</v>
      </c>
      <c r="H73" s="11">
        <f>Q73-N73</f>
        <v>-2.5750000000000002</v>
      </c>
      <c r="I73" s="11">
        <f>Q73+N73</f>
        <v>-1.5750000000000002</v>
      </c>
      <c r="J73" s="13">
        <f t="shared" si="33"/>
        <v>12.100000000000001</v>
      </c>
      <c r="K73" s="13">
        <f t="shared" si="34"/>
        <v>13.100000000000001</v>
      </c>
      <c r="L73" s="11">
        <f t="shared" si="39"/>
        <v>242.00000000000003</v>
      </c>
      <c r="M73" s="11">
        <f t="shared" si="40"/>
        <v>262</v>
      </c>
      <c r="N73" s="13">
        <v>0.5</v>
      </c>
      <c r="O73" s="11">
        <v>-0.8</v>
      </c>
      <c r="P73" s="13">
        <v>0</v>
      </c>
      <c r="Q73" s="11">
        <v>-2.0750000000000002</v>
      </c>
      <c r="R73" s="14">
        <f t="shared" si="41"/>
        <v>12.600000000000001</v>
      </c>
    </row>
    <row r="74" spans="2:18" x14ac:dyDescent="0.3">
      <c r="B74" s="34"/>
      <c r="C74" s="13" t="s">
        <v>29</v>
      </c>
      <c r="D74" s="11">
        <f t="shared" si="35"/>
        <v>-2.6</v>
      </c>
      <c r="E74" s="11">
        <f t="shared" si="36"/>
        <v>-2.1</v>
      </c>
      <c r="F74" s="13">
        <v>0.25</v>
      </c>
      <c r="G74" s="13">
        <v>-0.25</v>
      </c>
      <c r="H74" s="11">
        <f>Q74-N74</f>
        <v>-1.375</v>
      </c>
      <c r="I74" s="11">
        <f>Q74+N74</f>
        <v>-0.875</v>
      </c>
      <c r="J74" s="13">
        <f t="shared" si="33"/>
        <v>13.3</v>
      </c>
      <c r="K74" s="13">
        <f t="shared" si="34"/>
        <v>13.8</v>
      </c>
      <c r="L74" s="11">
        <f t="shared" si="39"/>
        <v>266</v>
      </c>
      <c r="M74" s="11">
        <f t="shared" si="40"/>
        <v>276</v>
      </c>
      <c r="N74" s="13">
        <v>0.25</v>
      </c>
      <c r="O74" s="11">
        <v>-2.35</v>
      </c>
      <c r="P74" s="13">
        <v>0</v>
      </c>
      <c r="Q74" s="11">
        <v>-1.125</v>
      </c>
      <c r="R74" s="14">
        <f t="shared" si="41"/>
        <v>13.55</v>
      </c>
    </row>
    <row r="75" spans="2:18" x14ac:dyDescent="0.3">
      <c r="B75" s="34"/>
      <c r="C75" s="13" t="s">
        <v>30</v>
      </c>
      <c r="D75" s="11">
        <f t="shared" si="35"/>
        <v>-3.6999999999999997</v>
      </c>
      <c r="E75" s="11">
        <f t="shared" si="36"/>
        <v>-3.4</v>
      </c>
      <c r="F75" s="13">
        <v>0.15</v>
      </c>
      <c r="G75" s="13">
        <v>-0.15</v>
      </c>
      <c r="H75" s="11">
        <f t="shared" ref="H75:H81" si="44">Q75-N75</f>
        <v>-0.67500000000000004</v>
      </c>
      <c r="I75" s="11">
        <f t="shared" ref="I75:I81" si="45">Q75+N75</f>
        <v>-0.375</v>
      </c>
      <c r="J75" s="13">
        <f t="shared" si="33"/>
        <v>14</v>
      </c>
      <c r="K75" s="13">
        <f t="shared" si="34"/>
        <v>14.3</v>
      </c>
      <c r="L75" s="11">
        <f t="shared" si="39"/>
        <v>280</v>
      </c>
      <c r="M75" s="11">
        <f t="shared" si="40"/>
        <v>286</v>
      </c>
      <c r="N75" s="13">
        <v>0.15</v>
      </c>
      <c r="O75" s="11">
        <v>-3.55</v>
      </c>
      <c r="P75" s="13">
        <v>0</v>
      </c>
      <c r="Q75" s="11">
        <v>-0.52500000000000002</v>
      </c>
      <c r="R75" s="14">
        <f t="shared" si="41"/>
        <v>14.15</v>
      </c>
    </row>
    <row r="76" spans="2:18" x14ac:dyDescent="0.3">
      <c r="B76" s="34"/>
      <c r="C76" s="13" t="s">
        <v>31</v>
      </c>
      <c r="D76" s="11">
        <f t="shared" si="35"/>
        <v>2.9</v>
      </c>
      <c r="E76" s="11">
        <f t="shared" si="36"/>
        <v>3.9</v>
      </c>
      <c r="F76" s="13">
        <v>3</v>
      </c>
      <c r="G76" s="13">
        <v>-3</v>
      </c>
      <c r="H76" s="11">
        <f t="shared" si="44"/>
        <v>6.4249999999999998</v>
      </c>
      <c r="I76" s="11">
        <f t="shared" si="45"/>
        <v>7.4249999999999998</v>
      </c>
      <c r="J76" s="13">
        <f t="shared" si="33"/>
        <v>21.1</v>
      </c>
      <c r="K76" s="13">
        <f t="shared" si="34"/>
        <v>22.1</v>
      </c>
      <c r="L76" s="11">
        <f t="shared" si="39"/>
        <v>422</v>
      </c>
      <c r="M76" s="11">
        <f t="shared" si="40"/>
        <v>442</v>
      </c>
      <c r="N76" s="13">
        <v>0.5</v>
      </c>
      <c r="O76" s="11">
        <v>3.4</v>
      </c>
      <c r="P76" s="13">
        <v>0</v>
      </c>
      <c r="Q76" s="11">
        <v>6.9249999999999998</v>
      </c>
      <c r="R76" s="14">
        <f t="shared" si="41"/>
        <v>21.6</v>
      </c>
    </row>
    <row r="77" spans="2:18" x14ac:dyDescent="0.3">
      <c r="B77" s="34"/>
      <c r="C77" s="13" t="s">
        <v>32</v>
      </c>
      <c r="D77" s="11">
        <f t="shared" si="35"/>
        <v>1.6</v>
      </c>
      <c r="E77" s="11">
        <f t="shared" si="36"/>
        <v>2.1</v>
      </c>
      <c r="F77" s="13">
        <v>3</v>
      </c>
      <c r="G77" s="13">
        <v>-3</v>
      </c>
      <c r="H77" s="11">
        <f t="shared" si="44"/>
        <v>7.625</v>
      </c>
      <c r="I77" s="11">
        <f t="shared" si="45"/>
        <v>8.125</v>
      </c>
      <c r="J77" s="13">
        <f t="shared" si="33"/>
        <v>22.3</v>
      </c>
      <c r="K77" s="13">
        <f t="shared" si="34"/>
        <v>22.8</v>
      </c>
      <c r="L77" s="11">
        <f t="shared" si="39"/>
        <v>446</v>
      </c>
      <c r="M77" s="11">
        <f t="shared" si="40"/>
        <v>456</v>
      </c>
      <c r="N77" s="13">
        <v>0.25</v>
      </c>
      <c r="O77" s="11">
        <v>1.85</v>
      </c>
      <c r="P77" s="13">
        <v>0</v>
      </c>
      <c r="Q77" s="11">
        <v>7.875</v>
      </c>
      <c r="R77" s="14">
        <f t="shared" si="41"/>
        <v>22.55</v>
      </c>
    </row>
    <row r="78" spans="2:18" x14ac:dyDescent="0.3">
      <c r="B78" s="34"/>
      <c r="C78" s="13" t="s">
        <v>33</v>
      </c>
      <c r="D78" s="11">
        <f t="shared" si="35"/>
        <v>0.6</v>
      </c>
      <c r="E78" s="11">
        <f t="shared" si="36"/>
        <v>0.9</v>
      </c>
      <c r="F78" s="13">
        <v>3</v>
      </c>
      <c r="G78" s="13">
        <v>-3</v>
      </c>
      <c r="H78" s="11">
        <f t="shared" si="44"/>
        <v>8.3249999999999993</v>
      </c>
      <c r="I78" s="11">
        <f t="shared" si="45"/>
        <v>8.625</v>
      </c>
      <c r="J78" s="13">
        <f t="shared" si="33"/>
        <v>23</v>
      </c>
      <c r="K78" s="13">
        <f t="shared" si="34"/>
        <v>23.3</v>
      </c>
      <c r="L78" s="11">
        <f t="shared" si="39"/>
        <v>460</v>
      </c>
      <c r="M78" s="11">
        <f t="shared" si="40"/>
        <v>466</v>
      </c>
      <c r="N78" s="13">
        <v>0.15</v>
      </c>
      <c r="O78" s="11">
        <v>0.75</v>
      </c>
      <c r="P78" s="13">
        <v>0</v>
      </c>
      <c r="Q78" s="11">
        <v>8.4749999999999996</v>
      </c>
      <c r="R78" s="14">
        <f t="shared" si="41"/>
        <v>23.15</v>
      </c>
    </row>
    <row r="79" spans="2:18" x14ac:dyDescent="0.3">
      <c r="B79" s="34"/>
      <c r="C79" s="13" t="s">
        <v>34</v>
      </c>
      <c r="D79" s="11">
        <f t="shared" si="35"/>
        <v>-1.3</v>
      </c>
      <c r="E79" s="11">
        <f t="shared" si="36"/>
        <v>-0.30000000000000004</v>
      </c>
      <c r="F79" s="13">
        <v>0.5</v>
      </c>
      <c r="G79" s="13">
        <v>-0.5</v>
      </c>
      <c r="H79" s="11">
        <f t="shared" si="44"/>
        <v>4.0250000000000004</v>
      </c>
      <c r="I79" s="11">
        <f t="shared" si="45"/>
        <v>5.0250000000000004</v>
      </c>
      <c r="J79" s="13">
        <f t="shared" si="33"/>
        <v>18.700000000000003</v>
      </c>
      <c r="K79" s="13">
        <f t="shared" si="34"/>
        <v>19.700000000000003</v>
      </c>
      <c r="L79" s="11">
        <f t="shared" si="39"/>
        <v>374.00000000000006</v>
      </c>
      <c r="M79" s="11">
        <f t="shared" si="40"/>
        <v>394.00000000000006</v>
      </c>
      <c r="N79" s="13">
        <v>0.5</v>
      </c>
      <c r="O79" s="11">
        <v>-0.8</v>
      </c>
      <c r="P79" s="13">
        <v>0</v>
      </c>
      <c r="Q79" s="11">
        <v>4.5250000000000004</v>
      </c>
      <c r="R79" s="14">
        <f t="shared" si="41"/>
        <v>19.200000000000003</v>
      </c>
    </row>
    <row r="80" spans="2:18" x14ac:dyDescent="0.3">
      <c r="B80" s="34"/>
      <c r="C80" s="13" t="s">
        <v>35</v>
      </c>
      <c r="D80" s="11">
        <f t="shared" si="35"/>
        <v>-2.6</v>
      </c>
      <c r="E80" s="11">
        <f t="shared" si="36"/>
        <v>-2.1</v>
      </c>
      <c r="F80" s="13">
        <v>0.25</v>
      </c>
      <c r="G80" s="13">
        <v>-0.25</v>
      </c>
      <c r="H80" s="11">
        <f t="shared" si="44"/>
        <v>5.2249999999999996</v>
      </c>
      <c r="I80" s="11">
        <f t="shared" si="45"/>
        <v>5.7249999999999996</v>
      </c>
      <c r="J80" s="13">
        <f t="shared" si="33"/>
        <v>19.899999999999999</v>
      </c>
      <c r="K80" s="13">
        <f t="shared" si="34"/>
        <v>20.399999999999999</v>
      </c>
      <c r="L80" s="11">
        <f t="shared" si="39"/>
        <v>397.99999999999994</v>
      </c>
      <c r="M80" s="11">
        <f t="shared" si="40"/>
        <v>407.99999999999994</v>
      </c>
      <c r="N80" s="13">
        <v>0.25</v>
      </c>
      <c r="O80" s="11">
        <v>-2.35</v>
      </c>
      <c r="P80" s="13">
        <v>0</v>
      </c>
      <c r="Q80" s="11">
        <v>5.4749999999999996</v>
      </c>
      <c r="R80" s="14">
        <f t="shared" si="41"/>
        <v>20.149999999999999</v>
      </c>
    </row>
    <row r="81" spans="2:18" x14ac:dyDescent="0.3">
      <c r="B81" s="34"/>
      <c r="C81" s="13" t="s">
        <v>36</v>
      </c>
      <c r="D81" s="11">
        <f t="shared" si="35"/>
        <v>-3.6999999999999997</v>
      </c>
      <c r="E81" s="11">
        <f t="shared" si="36"/>
        <v>-3.4</v>
      </c>
      <c r="F81" s="13">
        <v>0.15</v>
      </c>
      <c r="G81" s="13">
        <v>-0.15</v>
      </c>
      <c r="H81" s="11">
        <f t="shared" si="44"/>
        <v>5.9249999999999998</v>
      </c>
      <c r="I81" s="11">
        <f t="shared" si="45"/>
        <v>6.2250000000000005</v>
      </c>
      <c r="J81" s="13">
        <f t="shared" si="33"/>
        <v>20.6</v>
      </c>
      <c r="K81" s="13">
        <f t="shared" si="34"/>
        <v>20.900000000000002</v>
      </c>
      <c r="L81" s="11">
        <f t="shared" si="39"/>
        <v>412</v>
      </c>
      <c r="M81" s="11">
        <f t="shared" si="40"/>
        <v>418</v>
      </c>
      <c r="N81" s="13">
        <v>0.15</v>
      </c>
      <c r="O81" s="11">
        <v>-3.55</v>
      </c>
      <c r="P81" s="13">
        <v>0</v>
      </c>
      <c r="Q81" s="11">
        <v>6.0750000000000002</v>
      </c>
      <c r="R81" s="14">
        <f t="shared" si="41"/>
        <v>20.75</v>
      </c>
    </row>
    <row r="82" spans="2:18" ht="15" thickBot="1" x14ac:dyDescent="0.35">
      <c r="B82" s="35"/>
      <c r="C82" s="13" t="s">
        <v>53</v>
      </c>
      <c r="D82" s="16" t="s">
        <v>18</v>
      </c>
      <c r="E82" s="16" t="s">
        <v>18</v>
      </c>
      <c r="F82" s="17" t="s">
        <v>18</v>
      </c>
      <c r="G82" s="17" t="s">
        <v>18</v>
      </c>
      <c r="H82" s="18">
        <v>11.175000000000001</v>
      </c>
      <c r="I82" s="18">
        <v>13.675000000000001</v>
      </c>
      <c r="J82" s="15">
        <v>25.85</v>
      </c>
      <c r="K82" s="15">
        <v>28.35</v>
      </c>
      <c r="L82" s="18">
        <f t="shared" si="39"/>
        <v>517</v>
      </c>
      <c r="M82" s="18">
        <f t="shared" si="40"/>
        <v>567</v>
      </c>
      <c r="N82" s="17" t="s">
        <v>18</v>
      </c>
      <c r="O82" s="16" t="s">
        <v>18</v>
      </c>
      <c r="P82" s="17" t="s">
        <v>18</v>
      </c>
      <c r="Q82" s="18">
        <v>12.425000000000001</v>
      </c>
      <c r="R82" s="19">
        <v>27.1</v>
      </c>
    </row>
    <row r="83" spans="2:18" x14ac:dyDescent="0.3">
      <c r="B83" s="33" t="s">
        <v>37</v>
      </c>
      <c r="C83" s="7" t="s">
        <v>17</v>
      </c>
      <c r="D83" s="8" t="s">
        <v>18</v>
      </c>
      <c r="E83" s="8" t="s">
        <v>18</v>
      </c>
      <c r="F83" s="9" t="s">
        <v>18</v>
      </c>
      <c r="G83" s="9" t="s">
        <v>18</v>
      </c>
      <c r="H83" s="10">
        <v>-13.675000000000001</v>
      </c>
      <c r="I83" s="10">
        <v>-11.175000000000001</v>
      </c>
      <c r="J83" s="7">
        <v>1</v>
      </c>
      <c r="K83" s="7">
        <v>3.5</v>
      </c>
      <c r="L83" s="8">
        <f>J83/0.05</f>
        <v>20</v>
      </c>
      <c r="M83" s="8">
        <f>K83/0.05</f>
        <v>70</v>
      </c>
      <c r="N83" s="9" t="s">
        <v>18</v>
      </c>
      <c r="O83" s="8" t="s">
        <v>18</v>
      </c>
      <c r="P83" s="9" t="s">
        <v>18</v>
      </c>
      <c r="Q83" s="10">
        <v>-12.425000000000001</v>
      </c>
      <c r="R83" s="12">
        <v>2.25</v>
      </c>
    </row>
    <row r="84" spans="2:18" x14ac:dyDescent="0.3">
      <c r="B84" s="34"/>
      <c r="C84" s="13" t="s">
        <v>19</v>
      </c>
      <c r="D84" s="11">
        <f>O84+N84</f>
        <v>0.5</v>
      </c>
      <c r="E84" s="11">
        <f>O84-N84</f>
        <v>-0.5</v>
      </c>
      <c r="F84" s="13">
        <v>3</v>
      </c>
      <c r="G84" s="13">
        <v>-3</v>
      </c>
      <c r="H84" s="11">
        <f>Q84+N84</f>
        <v>-8.4749999999999996</v>
      </c>
      <c r="I84" s="11">
        <f>Q84-N84</f>
        <v>-9.4749999999999996</v>
      </c>
      <c r="J84" s="13">
        <f>(Q84-N84)+(29.35/2)</f>
        <v>5.2000000000000011</v>
      </c>
      <c r="K84" s="13">
        <f>(Q84+N84)+(29.35/2)</f>
        <v>6.2000000000000011</v>
      </c>
      <c r="L84" s="20">
        <f t="shared" ref="L84:M96" si="46">J84/0.05</f>
        <v>104.00000000000001</v>
      </c>
      <c r="M84" s="20">
        <f t="shared" si="46"/>
        <v>124.00000000000001</v>
      </c>
      <c r="N84" s="13">
        <v>0.5</v>
      </c>
      <c r="O84" s="11">
        <v>0</v>
      </c>
      <c r="P84" s="13">
        <v>0</v>
      </c>
      <c r="Q84" s="11">
        <v>-8.9749999999999996</v>
      </c>
      <c r="R84" s="14">
        <f>Q84+(29.35/2)</f>
        <v>5.7000000000000011</v>
      </c>
    </row>
    <row r="85" spans="2:18" x14ac:dyDescent="0.3">
      <c r="B85" s="34"/>
      <c r="C85" s="13" t="s">
        <v>20</v>
      </c>
      <c r="D85" s="11">
        <f t="shared" ref="D85:D95" si="47">O85+N85</f>
        <v>0.25</v>
      </c>
      <c r="E85" s="11">
        <f t="shared" ref="E85:E95" si="48">O85-N85</f>
        <v>-0.25</v>
      </c>
      <c r="F85" s="13">
        <v>3</v>
      </c>
      <c r="G85" s="13">
        <v>-3</v>
      </c>
      <c r="H85" s="11">
        <f t="shared" ref="H85:H89" si="49">Q85+N85</f>
        <v>-6.9749999999999996</v>
      </c>
      <c r="I85" s="11">
        <f t="shared" ref="I85:I89" si="50">Q85-N85</f>
        <v>-7.4749999999999996</v>
      </c>
      <c r="J85" s="13">
        <f t="shared" ref="J85:J95" si="51">(Q85-N85)+(29.35/2)</f>
        <v>7.2000000000000011</v>
      </c>
      <c r="K85" s="13">
        <f t="shared" ref="K85:K95" si="52">(Q85+N85)+(29.35/2)</f>
        <v>7.7000000000000011</v>
      </c>
      <c r="L85" s="20">
        <f t="shared" si="46"/>
        <v>144</v>
      </c>
      <c r="M85" s="20">
        <f t="shared" si="46"/>
        <v>154</v>
      </c>
      <c r="N85" s="13">
        <v>0.25</v>
      </c>
      <c r="O85" s="11">
        <v>0</v>
      </c>
      <c r="P85" s="13">
        <v>0</v>
      </c>
      <c r="Q85" s="11">
        <v>-7.2249999999999996</v>
      </c>
      <c r="R85" s="14">
        <f t="shared" ref="R85:R95" si="53">Q85+(29.35/2)</f>
        <v>7.4500000000000011</v>
      </c>
    </row>
    <row r="86" spans="2:18" x14ac:dyDescent="0.3">
      <c r="B86" s="34"/>
      <c r="C86" s="13" t="s">
        <v>21</v>
      </c>
      <c r="D86" s="11">
        <f t="shared" si="47"/>
        <v>0.15</v>
      </c>
      <c r="E86" s="11">
        <f t="shared" si="48"/>
        <v>-0.15</v>
      </c>
      <c r="F86" s="13">
        <v>3</v>
      </c>
      <c r="G86" s="13">
        <v>-3</v>
      </c>
      <c r="H86" s="11">
        <f t="shared" si="49"/>
        <v>-5.6749999999999998</v>
      </c>
      <c r="I86" s="11">
        <f t="shared" si="50"/>
        <v>-5.9750000000000005</v>
      </c>
      <c r="J86" s="13">
        <f t="shared" si="51"/>
        <v>8.6999999999999993</v>
      </c>
      <c r="K86" s="13">
        <f t="shared" si="52"/>
        <v>9</v>
      </c>
      <c r="L86" s="20">
        <f t="shared" si="46"/>
        <v>173.99999999999997</v>
      </c>
      <c r="M86" s="20">
        <f t="shared" si="46"/>
        <v>180</v>
      </c>
      <c r="N86" s="13">
        <v>0.15</v>
      </c>
      <c r="O86" s="11">
        <v>0</v>
      </c>
      <c r="P86" s="13">
        <v>0</v>
      </c>
      <c r="Q86" s="11">
        <v>-5.8250000000000002</v>
      </c>
      <c r="R86" s="14">
        <f t="shared" si="53"/>
        <v>8.8500000000000014</v>
      </c>
    </row>
    <row r="87" spans="2:18" x14ac:dyDescent="0.3">
      <c r="B87" s="34"/>
      <c r="C87" s="13" t="s">
        <v>28</v>
      </c>
      <c r="D87" s="11">
        <f t="shared" si="47"/>
        <v>0.5</v>
      </c>
      <c r="E87" s="11">
        <f t="shared" si="48"/>
        <v>-0.5</v>
      </c>
      <c r="F87" s="13">
        <v>0.5</v>
      </c>
      <c r="G87" s="13">
        <v>-0.5</v>
      </c>
      <c r="H87" s="11">
        <f t="shared" si="49"/>
        <v>-3.375</v>
      </c>
      <c r="I87" s="11">
        <f t="shared" si="50"/>
        <v>-4.375</v>
      </c>
      <c r="J87" s="13">
        <f t="shared" si="51"/>
        <v>10.3</v>
      </c>
      <c r="K87" s="13">
        <f t="shared" si="52"/>
        <v>11.3</v>
      </c>
      <c r="L87" s="20">
        <f t="shared" si="46"/>
        <v>206</v>
      </c>
      <c r="M87" s="20">
        <f t="shared" si="46"/>
        <v>226</v>
      </c>
      <c r="N87" s="13">
        <v>0.5</v>
      </c>
      <c r="O87" s="11">
        <v>0</v>
      </c>
      <c r="P87" s="13">
        <v>0</v>
      </c>
      <c r="Q87" s="11">
        <v>-3.875</v>
      </c>
      <c r="R87" s="14">
        <f t="shared" si="53"/>
        <v>10.8</v>
      </c>
    </row>
    <row r="88" spans="2:18" x14ac:dyDescent="0.3">
      <c r="B88" s="34"/>
      <c r="C88" s="13" t="s">
        <v>29</v>
      </c>
      <c r="D88" s="11">
        <f t="shared" si="47"/>
        <v>0.25</v>
      </c>
      <c r="E88" s="11">
        <f t="shared" si="48"/>
        <v>-0.25</v>
      </c>
      <c r="F88" s="13">
        <v>0.25</v>
      </c>
      <c r="G88" s="13">
        <v>-0.25</v>
      </c>
      <c r="H88" s="11">
        <f t="shared" si="49"/>
        <v>-1.875</v>
      </c>
      <c r="I88" s="11">
        <f t="shared" si="50"/>
        <v>-2.375</v>
      </c>
      <c r="J88" s="13">
        <f t="shared" si="51"/>
        <v>12.3</v>
      </c>
      <c r="K88" s="13">
        <f t="shared" si="52"/>
        <v>12.8</v>
      </c>
      <c r="L88" s="20">
        <f t="shared" si="46"/>
        <v>246</v>
      </c>
      <c r="M88" s="20">
        <f t="shared" si="46"/>
        <v>256</v>
      </c>
      <c r="N88" s="13">
        <v>0.25</v>
      </c>
      <c r="O88" s="11">
        <v>0</v>
      </c>
      <c r="P88" s="13">
        <v>0</v>
      </c>
      <c r="Q88" s="11">
        <v>-2.125</v>
      </c>
      <c r="R88" s="14">
        <f t="shared" si="53"/>
        <v>12.55</v>
      </c>
    </row>
    <row r="89" spans="2:18" x14ac:dyDescent="0.3">
      <c r="B89" s="34"/>
      <c r="C89" s="13" t="s">
        <v>30</v>
      </c>
      <c r="D89" s="11">
        <f t="shared" si="47"/>
        <v>0.15</v>
      </c>
      <c r="E89" s="11">
        <f t="shared" si="48"/>
        <v>-0.15</v>
      </c>
      <c r="F89" s="13">
        <v>0.15</v>
      </c>
      <c r="G89" s="13">
        <v>-0.15</v>
      </c>
      <c r="H89" s="11">
        <f t="shared" si="49"/>
        <v>-0.57499999999999996</v>
      </c>
      <c r="I89" s="11">
        <f t="shared" si="50"/>
        <v>-0.875</v>
      </c>
      <c r="J89" s="13">
        <f t="shared" si="51"/>
        <v>13.8</v>
      </c>
      <c r="K89" s="13">
        <f t="shared" si="52"/>
        <v>14.100000000000001</v>
      </c>
      <c r="L89" s="20">
        <f t="shared" si="46"/>
        <v>276</v>
      </c>
      <c r="M89" s="20">
        <f t="shared" si="46"/>
        <v>282</v>
      </c>
      <c r="N89" s="13">
        <v>0.15</v>
      </c>
      <c r="O89" s="11">
        <v>0</v>
      </c>
      <c r="P89" s="13">
        <v>0</v>
      </c>
      <c r="Q89" s="11">
        <v>-0.72499999999999998</v>
      </c>
      <c r="R89" s="14">
        <f t="shared" si="53"/>
        <v>13.950000000000001</v>
      </c>
    </row>
    <row r="90" spans="2:18" x14ac:dyDescent="0.3">
      <c r="B90" s="34"/>
      <c r="C90" s="13" t="s">
        <v>31</v>
      </c>
      <c r="D90" s="11">
        <f t="shared" si="47"/>
        <v>0.5</v>
      </c>
      <c r="E90" s="11">
        <f t="shared" si="48"/>
        <v>-0.5</v>
      </c>
      <c r="F90" s="13">
        <v>3</v>
      </c>
      <c r="G90" s="13">
        <v>-3</v>
      </c>
      <c r="H90" s="11">
        <f>Q90-N90</f>
        <v>0.72500000000000009</v>
      </c>
      <c r="I90" s="11">
        <f>Q90+N90</f>
        <v>1.7250000000000001</v>
      </c>
      <c r="J90" s="13">
        <f t="shared" si="51"/>
        <v>15.4</v>
      </c>
      <c r="K90" s="13">
        <f t="shared" si="52"/>
        <v>16.400000000000002</v>
      </c>
      <c r="L90" s="20">
        <f t="shared" si="46"/>
        <v>308</v>
      </c>
      <c r="M90" s="20">
        <f t="shared" si="46"/>
        <v>328</v>
      </c>
      <c r="N90" s="13">
        <v>0.5</v>
      </c>
      <c r="O90" s="11">
        <v>0</v>
      </c>
      <c r="P90" s="13">
        <v>0</v>
      </c>
      <c r="Q90" s="11">
        <v>1.2250000000000001</v>
      </c>
      <c r="R90" s="14">
        <f t="shared" si="53"/>
        <v>15.9</v>
      </c>
    </row>
    <row r="91" spans="2:18" x14ac:dyDescent="0.3">
      <c r="B91" s="34"/>
      <c r="C91" s="13" t="s">
        <v>32</v>
      </c>
      <c r="D91" s="11">
        <f t="shared" si="47"/>
        <v>0.25</v>
      </c>
      <c r="E91" s="11">
        <f t="shared" si="48"/>
        <v>-0.25</v>
      </c>
      <c r="F91" s="13">
        <v>3</v>
      </c>
      <c r="G91" s="13">
        <v>-3</v>
      </c>
      <c r="H91" s="11">
        <f t="shared" ref="H91:H95" si="54">Q91-N91</f>
        <v>2.7250000000000001</v>
      </c>
      <c r="I91" s="11">
        <f t="shared" ref="I91:I95" si="55">Q91+N91</f>
        <v>3.2250000000000001</v>
      </c>
      <c r="J91" s="13">
        <f t="shared" si="51"/>
        <v>17.400000000000002</v>
      </c>
      <c r="K91" s="13">
        <f t="shared" si="52"/>
        <v>17.900000000000002</v>
      </c>
      <c r="L91" s="20">
        <f t="shared" si="46"/>
        <v>348</v>
      </c>
      <c r="M91" s="20">
        <f t="shared" si="46"/>
        <v>358</v>
      </c>
      <c r="N91" s="13">
        <v>0.25</v>
      </c>
      <c r="O91" s="11">
        <v>0</v>
      </c>
      <c r="P91" s="13">
        <v>0</v>
      </c>
      <c r="Q91" s="11">
        <v>2.9750000000000001</v>
      </c>
      <c r="R91" s="14">
        <f t="shared" si="53"/>
        <v>17.650000000000002</v>
      </c>
    </row>
    <row r="92" spans="2:18" x14ac:dyDescent="0.3">
      <c r="B92" s="34"/>
      <c r="C92" s="13" t="s">
        <v>33</v>
      </c>
      <c r="D92" s="11">
        <f t="shared" si="47"/>
        <v>0.15</v>
      </c>
      <c r="E92" s="11">
        <f t="shared" si="48"/>
        <v>-0.15</v>
      </c>
      <c r="F92" s="13">
        <v>3</v>
      </c>
      <c r="G92" s="13">
        <v>-3</v>
      </c>
      <c r="H92" s="11">
        <f t="shared" si="54"/>
        <v>4.2249999999999996</v>
      </c>
      <c r="I92" s="11">
        <f t="shared" si="55"/>
        <v>4.5250000000000004</v>
      </c>
      <c r="J92" s="13">
        <f t="shared" si="51"/>
        <v>18.899999999999999</v>
      </c>
      <c r="K92" s="13">
        <f t="shared" si="52"/>
        <v>19.200000000000003</v>
      </c>
      <c r="L92" s="20">
        <f t="shared" si="46"/>
        <v>377.99999999999994</v>
      </c>
      <c r="M92" s="20">
        <f t="shared" si="46"/>
        <v>384.00000000000006</v>
      </c>
      <c r="N92" s="13">
        <v>0.15</v>
      </c>
      <c r="O92" s="11">
        <v>0</v>
      </c>
      <c r="P92" s="13">
        <v>0</v>
      </c>
      <c r="Q92" s="11">
        <v>4.375</v>
      </c>
      <c r="R92" s="14">
        <f t="shared" si="53"/>
        <v>19.05</v>
      </c>
    </row>
    <row r="93" spans="2:18" x14ac:dyDescent="0.3">
      <c r="B93" s="34"/>
      <c r="C93" s="13" t="s">
        <v>38</v>
      </c>
      <c r="D93" s="11">
        <f t="shared" si="47"/>
        <v>0.5</v>
      </c>
      <c r="E93" s="11">
        <f t="shared" si="48"/>
        <v>-0.5</v>
      </c>
      <c r="F93" s="13">
        <v>0.5</v>
      </c>
      <c r="G93" s="13">
        <v>-0.5</v>
      </c>
      <c r="H93" s="11">
        <f t="shared" si="54"/>
        <v>5.8250000000000002</v>
      </c>
      <c r="I93" s="11">
        <f t="shared" si="55"/>
        <v>6.8250000000000002</v>
      </c>
      <c r="J93" s="13">
        <f t="shared" si="51"/>
        <v>20.5</v>
      </c>
      <c r="K93" s="13">
        <f t="shared" si="52"/>
        <v>21.5</v>
      </c>
      <c r="L93" s="20">
        <f t="shared" si="46"/>
        <v>410</v>
      </c>
      <c r="M93" s="20">
        <f t="shared" si="46"/>
        <v>430</v>
      </c>
      <c r="N93" s="13">
        <v>0.5</v>
      </c>
      <c r="O93" s="11">
        <v>0</v>
      </c>
      <c r="P93" s="13">
        <v>0</v>
      </c>
      <c r="Q93" s="11">
        <v>6.3250000000000002</v>
      </c>
      <c r="R93" s="14">
        <f t="shared" si="53"/>
        <v>21</v>
      </c>
    </row>
    <row r="94" spans="2:18" x14ac:dyDescent="0.3">
      <c r="B94" s="34"/>
      <c r="C94" s="13" t="s">
        <v>39</v>
      </c>
      <c r="D94" s="11">
        <f t="shared" si="47"/>
        <v>0.25</v>
      </c>
      <c r="E94" s="11">
        <f t="shared" si="48"/>
        <v>-0.25</v>
      </c>
      <c r="F94" s="13">
        <v>0.25</v>
      </c>
      <c r="G94" s="13">
        <v>-0.25</v>
      </c>
      <c r="H94" s="11">
        <f t="shared" si="54"/>
        <v>7.8249999999999993</v>
      </c>
      <c r="I94" s="11">
        <f t="shared" si="55"/>
        <v>8.3249999999999993</v>
      </c>
      <c r="J94" s="13">
        <f t="shared" si="51"/>
        <v>22.5</v>
      </c>
      <c r="K94" s="13">
        <f t="shared" si="52"/>
        <v>23</v>
      </c>
      <c r="L94" s="20">
        <f t="shared" si="46"/>
        <v>450</v>
      </c>
      <c r="M94" s="20">
        <f t="shared" si="46"/>
        <v>460</v>
      </c>
      <c r="N94" s="13">
        <v>0.25</v>
      </c>
      <c r="O94" s="11">
        <v>0</v>
      </c>
      <c r="P94" s="13">
        <v>0</v>
      </c>
      <c r="Q94" s="11">
        <v>8.0749999999999993</v>
      </c>
      <c r="R94" s="14">
        <f t="shared" si="53"/>
        <v>22.75</v>
      </c>
    </row>
    <row r="95" spans="2:18" x14ac:dyDescent="0.3">
      <c r="B95" s="34"/>
      <c r="C95" s="13" t="s">
        <v>40</v>
      </c>
      <c r="D95" s="11">
        <f t="shared" si="47"/>
        <v>0.15</v>
      </c>
      <c r="E95" s="11">
        <f t="shared" si="48"/>
        <v>-0.15</v>
      </c>
      <c r="F95" s="13">
        <v>0.15</v>
      </c>
      <c r="G95" s="13">
        <v>-0.15</v>
      </c>
      <c r="H95" s="11">
        <f t="shared" si="54"/>
        <v>9.3249999999999993</v>
      </c>
      <c r="I95" s="11">
        <f t="shared" si="55"/>
        <v>9.625</v>
      </c>
      <c r="J95" s="13">
        <f t="shared" si="51"/>
        <v>24</v>
      </c>
      <c r="K95" s="13">
        <f t="shared" si="52"/>
        <v>24.3</v>
      </c>
      <c r="L95" s="20">
        <f t="shared" si="46"/>
        <v>480</v>
      </c>
      <c r="M95" s="20">
        <f t="shared" si="46"/>
        <v>486</v>
      </c>
      <c r="N95" s="13">
        <v>0.15</v>
      </c>
      <c r="O95" s="11">
        <v>0</v>
      </c>
      <c r="P95" s="13">
        <v>0</v>
      </c>
      <c r="Q95" s="11">
        <v>9.4749999999999996</v>
      </c>
      <c r="R95" s="14">
        <f t="shared" si="53"/>
        <v>24.15</v>
      </c>
    </row>
    <row r="96" spans="2:18" ht="15" thickBot="1" x14ac:dyDescent="0.35">
      <c r="B96" s="35"/>
      <c r="C96" s="15" t="s">
        <v>53</v>
      </c>
      <c r="D96" s="16" t="s">
        <v>18</v>
      </c>
      <c r="E96" s="16" t="s">
        <v>18</v>
      </c>
      <c r="F96" s="17" t="s">
        <v>18</v>
      </c>
      <c r="G96" s="17" t="s">
        <v>18</v>
      </c>
      <c r="H96" s="18">
        <v>11.175000000000001</v>
      </c>
      <c r="I96" s="18">
        <v>13.675000000000001</v>
      </c>
      <c r="J96" s="15">
        <v>25.85</v>
      </c>
      <c r="K96" s="15">
        <v>28.35</v>
      </c>
      <c r="L96" s="16">
        <f t="shared" si="46"/>
        <v>517</v>
      </c>
      <c r="M96" s="16">
        <f t="shared" si="46"/>
        <v>567</v>
      </c>
      <c r="N96" s="17" t="s">
        <v>18</v>
      </c>
      <c r="O96" s="16" t="s">
        <v>18</v>
      </c>
      <c r="P96" s="17" t="s">
        <v>18</v>
      </c>
      <c r="Q96" s="18">
        <v>12.425000000000001</v>
      </c>
      <c r="R96" s="19">
        <v>27.1</v>
      </c>
    </row>
    <row r="97" spans="2:18" x14ac:dyDescent="0.3">
      <c r="B97" s="33" t="s">
        <v>41</v>
      </c>
      <c r="C97" s="7" t="s">
        <v>17</v>
      </c>
      <c r="D97" s="8" t="s">
        <v>18</v>
      </c>
      <c r="E97" s="8" t="s">
        <v>18</v>
      </c>
      <c r="F97" s="9" t="s">
        <v>18</v>
      </c>
      <c r="G97" s="9" t="s">
        <v>18</v>
      </c>
      <c r="H97" s="10">
        <v>-13.675000000000001</v>
      </c>
      <c r="I97" s="10">
        <v>-11.175000000000001</v>
      </c>
      <c r="J97" s="7">
        <v>1</v>
      </c>
      <c r="K97" s="7">
        <v>3.5</v>
      </c>
      <c r="L97" s="21">
        <f>J97/0.05</f>
        <v>20</v>
      </c>
      <c r="M97" s="21">
        <f>K97/0.05</f>
        <v>70</v>
      </c>
      <c r="N97" s="9" t="s">
        <v>18</v>
      </c>
      <c r="O97" s="8" t="s">
        <v>18</v>
      </c>
      <c r="P97" s="9" t="s">
        <v>18</v>
      </c>
      <c r="Q97" s="10">
        <v>-12.425000000000001</v>
      </c>
      <c r="R97" s="12">
        <v>2.25</v>
      </c>
    </row>
    <row r="98" spans="2:18" x14ac:dyDescent="0.3">
      <c r="B98" s="34"/>
      <c r="C98" s="13" t="s">
        <v>20</v>
      </c>
      <c r="D98" s="11">
        <f>O98+N98</f>
        <v>0.25</v>
      </c>
      <c r="E98" s="11">
        <f>O98-F98</f>
        <v>-0.25</v>
      </c>
      <c r="F98" s="13">
        <f>P98+N98</f>
        <v>0.25</v>
      </c>
      <c r="G98" s="13">
        <f>P98-N98</f>
        <v>-0.25</v>
      </c>
      <c r="H98" s="11">
        <f>Q98+N98</f>
        <v>-7.6749999999999998</v>
      </c>
      <c r="I98" s="11">
        <f>Q98-N98</f>
        <v>-8.1750000000000007</v>
      </c>
      <c r="J98" s="13">
        <f>(Q98-N98)+(29.35/2)</f>
        <v>6.5</v>
      </c>
      <c r="K98" s="13">
        <f>(Q98+N98)+(29.35/2)</f>
        <v>7.0000000000000009</v>
      </c>
      <c r="L98" s="11">
        <f>J98/0.05</f>
        <v>130</v>
      </c>
      <c r="M98" s="11">
        <f>K98/0.05</f>
        <v>140</v>
      </c>
      <c r="N98" s="13">
        <v>0.25</v>
      </c>
      <c r="O98" s="11">
        <v>0</v>
      </c>
      <c r="P98" s="13">
        <v>0</v>
      </c>
      <c r="Q98" s="11">
        <v>-7.9249999999999998</v>
      </c>
      <c r="R98" s="14">
        <f>Q98+(29.35/2)</f>
        <v>6.7500000000000009</v>
      </c>
    </row>
    <row r="99" spans="2:18" x14ac:dyDescent="0.3">
      <c r="B99" s="34"/>
      <c r="C99" s="13" t="s">
        <v>21</v>
      </c>
      <c r="D99" s="11">
        <f t="shared" ref="D99:D109" si="56">O99+N99</f>
        <v>0.15</v>
      </c>
      <c r="E99" s="11">
        <f t="shared" ref="E99:E109" si="57">O99-F99</f>
        <v>-0.15</v>
      </c>
      <c r="F99" s="13">
        <f t="shared" ref="F99:F109" si="58">P99+N99</f>
        <v>0.15</v>
      </c>
      <c r="G99" s="13">
        <f t="shared" ref="G99:G109" si="59">P99-N99</f>
        <v>-0.15</v>
      </c>
      <c r="H99" s="11">
        <f t="shared" ref="H99:H102" si="60">Q99+N99</f>
        <v>-6.375</v>
      </c>
      <c r="I99" s="11">
        <f t="shared" ref="I99:I102" si="61">Q99-N99</f>
        <v>-6.6750000000000007</v>
      </c>
      <c r="J99" s="13">
        <f t="shared" ref="J99:J109" si="62">(Q99-N99)+(29.35/2)</f>
        <v>8</v>
      </c>
      <c r="K99" s="13">
        <f t="shared" ref="K99:K109" si="63">(Q99+N99)+(29.35/2)</f>
        <v>8.3000000000000007</v>
      </c>
      <c r="L99" s="11">
        <f t="shared" ref="L99:M110" si="64">J99/0.05</f>
        <v>160</v>
      </c>
      <c r="M99" s="11">
        <f t="shared" si="64"/>
        <v>166</v>
      </c>
      <c r="N99" s="13">
        <v>0.15</v>
      </c>
      <c r="O99" s="11">
        <v>0</v>
      </c>
      <c r="P99" s="13">
        <v>0</v>
      </c>
      <c r="Q99" s="11">
        <v>-6.5250000000000004</v>
      </c>
      <c r="R99" s="14">
        <f t="shared" ref="R99:R109" si="65">Q99+(29.35/2)</f>
        <v>8.15</v>
      </c>
    </row>
    <row r="100" spans="2:18" x14ac:dyDescent="0.3">
      <c r="B100" s="34"/>
      <c r="C100" s="13" t="s">
        <v>29</v>
      </c>
      <c r="D100" s="11">
        <f t="shared" si="56"/>
        <v>0.25</v>
      </c>
      <c r="E100" s="11">
        <f t="shared" si="57"/>
        <v>-0.25</v>
      </c>
      <c r="F100" s="13">
        <f t="shared" si="58"/>
        <v>0.25</v>
      </c>
      <c r="G100" s="13">
        <f t="shared" si="59"/>
        <v>-0.25</v>
      </c>
      <c r="H100" s="11">
        <f t="shared" si="60"/>
        <v>-4.7750000000000004</v>
      </c>
      <c r="I100" s="11">
        <f t="shared" si="61"/>
        <v>-5.2750000000000004</v>
      </c>
      <c r="J100" s="13">
        <f t="shared" si="62"/>
        <v>9.4</v>
      </c>
      <c r="K100" s="13">
        <f t="shared" si="63"/>
        <v>9.9</v>
      </c>
      <c r="L100" s="11">
        <f t="shared" si="64"/>
        <v>188</v>
      </c>
      <c r="M100" s="11">
        <f t="shared" si="64"/>
        <v>198</v>
      </c>
      <c r="N100" s="13">
        <v>0.25</v>
      </c>
      <c r="O100" s="11">
        <v>0</v>
      </c>
      <c r="P100" s="13">
        <v>0</v>
      </c>
      <c r="Q100" s="11">
        <v>-5.0250000000000004</v>
      </c>
      <c r="R100" s="14">
        <f t="shared" si="65"/>
        <v>9.65</v>
      </c>
    </row>
    <row r="101" spans="2:18" x14ac:dyDescent="0.3">
      <c r="B101" s="34"/>
      <c r="C101" s="13" t="s">
        <v>30</v>
      </c>
      <c r="D101" s="11">
        <f t="shared" si="56"/>
        <v>0.15</v>
      </c>
      <c r="E101" s="11">
        <f t="shared" si="57"/>
        <v>-0.15</v>
      </c>
      <c r="F101" s="13">
        <f t="shared" si="58"/>
        <v>0.15</v>
      </c>
      <c r="G101" s="13">
        <f t="shared" si="59"/>
        <v>-0.15</v>
      </c>
      <c r="H101" s="11">
        <f t="shared" si="60"/>
        <v>-3.4750000000000001</v>
      </c>
      <c r="I101" s="11">
        <f t="shared" si="61"/>
        <v>-3.7749999999999999</v>
      </c>
      <c r="J101" s="13">
        <f t="shared" si="62"/>
        <v>10.9</v>
      </c>
      <c r="K101" s="13">
        <f t="shared" si="63"/>
        <v>11.200000000000001</v>
      </c>
      <c r="L101" s="11">
        <f t="shared" si="64"/>
        <v>218</v>
      </c>
      <c r="M101" s="11">
        <f t="shared" si="64"/>
        <v>224</v>
      </c>
      <c r="N101" s="13">
        <v>0.15</v>
      </c>
      <c r="O101" s="11">
        <v>0</v>
      </c>
      <c r="P101" s="13">
        <v>0</v>
      </c>
      <c r="Q101" s="11">
        <v>-3.625</v>
      </c>
      <c r="R101" s="14">
        <f t="shared" si="65"/>
        <v>11.05</v>
      </c>
    </row>
    <row r="102" spans="2:18" x14ac:dyDescent="0.3">
      <c r="B102" s="34"/>
      <c r="C102" s="13" t="s">
        <v>32</v>
      </c>
      <c r="D102" s="11">
        <f t="shared" si="56"/>
        <v>0.25</v>
      </c>
      <c r="E102" s="11">
        <f t="shared" si="57"/>
        <v>-0.25</v>
      </c>
      <c r="F102" s="13">
        <f t="shared" si="58"/>
        <v>0.25</v>
      </c>
      <c r="G102" s="13">
        <f t="shared" si="59"/>
        <v>-0.25</v>
      </c>
      <c r="H102" s="11">
        <f t="shared" si="60"/>
        <v>-1.875</v>
      </c>
      <c r="I102" s="11">
        <f t="shared" si="61"/>
        <v>-2.375</v>
      </c>
      <c r="J102" s="13">
        <f t="shared" si="62"/>
        <v>12.3</v>
      </c>
      <c r="K102" s="13">
        <f t="shared" si="63"/>
        <v>12.8</v>
      </c>
      <c r="L102" s="11">
        <f t="shared" si="64"/>
        <v>246</v>
      </c>
      <c r="M102" s="11">
        <f t="shared" si="64"/>
        <v>256</v>
      </c>
      <c r="N102" s="13">
        <v>0.25</v>
      </c>
      <c r="O102" s="11">
        <v>0</v>
      </c>
      <c r="P102" s="13">
        <v>0</v>
      </c>
      <c r="Q102" s="11">
        <v>-2.125</v>
      </c>
      <c r="R102" s="14">
        <f t="shared" si="65"/>
        <v>12.55</v>
      </c>
    </row>
    <row r="103" spans="2:18" x14ac:dyDescent="0.3">
      <c r="B103" s="34"/>
      <c r="C103" s="13" t="s">
        <v>33</v>
      </c>
      <c r="D103" s="11">
        <f t="shared" si="56"/>
        <v>0.15</v>
      </c>
      <c r="E103" s="11">
        <f t="shared" si="57"/>
        <v>-0.15</v>
      </c>
      <c r="F103" s="13">
        <f t="shared" si="58"/>
        <v>0.15</v>
      </c>
      <c r="G103" s="13">
        <f t="shared" si="59"/>
        <v>-0.15</v>
      </c>
      <c r="H103" s="11">
        <f>Q103+N103</f>
        <v>-0.57499999999999996</v>
      </c>
      <c r="I103" s="11">
        <f>Q103-N103</f>
        <v>-0.875</v>
      </c>
      <c r="J103" s="13">
        <f t="shared" si="62"/>
        <v>13.8</v>
      </c>
      <c r="K103" s="13">
        <f t="shared" si="63"/>
        <v>14.100000000000001</v>
      </c>
      <c r="L103" s="11">
        <f t="shared" si="64"/>
        <v>276</v>
      </c>
      <c r="M103" s="11">
        <f t="shared" si="64"/>
        <v>282</v>
      </c>
      <c r="N103" s="13">
        <v>0.15</v>
      </c>
      <c r="O103" s="11">
        <v>0</v>
      </c>
      <c r="P103" s="13">
        <v>0</v>
      </c>
      <c r="Q103" s="11">
        <v>-0.72499999999999998</v>
      </c>
      <c r="R103" s="14">
        <f t="shared" si="65"/>
        <v>13.950000000000001</v>
      </c>
    </row>
    <row r="104" spans="2:18" x14ac:dyDescent="0.3">
      <c r="B104" s="34"/>
      <c r="C104" s="13" t="s">
        <v>39</v>
      </c>
      <c r="D104" s="11">
        <f t="shared" si="56"/>
        <v>0.25</v>
      </c>
      <c r="E104" s="11">
        <f t="shared" si="57"/>
        <v>-0.25</v>
      </c>
      <c r="F104" s="13">
        <f t="shared" si="58"/>
        <v>0.25</v>
      </c>
      <c r="G104" s="13">
        <f t="shared" si="59"/>
        <v>-0.25</v>
      </c>
      <c r="H104" s="11">
        <f>Q104-N104</f>
        <v>0.52500000000000002</v>
      </c>
      <c r="I104" s="11">
        <f>Q104+N104</f>
        <v>1.0249999999999999</v>
      </c>
      <c r="J104" s="13">
        <f t="shared" si="62"/>
        <v>15.200000000000001</v>
      </c>
      <c r="K104" s="13">
        <f t="shared" si="63"/>
        <v>15.700000000000001</v>
      </c>
      <c r="L104" s="11">
        <f t="shared" si="64"/>
        <v>304</v>
      </c>
      <c r="M104" s="11">
        <f t="shared" si="64"/>
        <v>314</v>
      </c>
      <c r="N104" s="13">
        <v>0.25</v>
      </c>
      <c r="O104" s="11">
        <v>0</v>
      </c>
      <c r="P104" s="13">
        <v>0</v>
      </c>
      <c r="Q104" s="11">
        <v>0.77500000000000002</v>
      </c>
      <c r="R104" s="14">
        <f t="shared" si="65"/>
        <v>15.450000000000001</v>
      </c>
    </row>
    <row r="105" spans="2:18" x14ac:dyDescent="0.3">
      <c r="B105" s="34"/>
      <c r="C105" s="13" t="s">
        <v>40</v>
      </c>
      <c r="D105" s="11">
        <f t="shared" si="56"/>
        <v>0.15</v>
      </c>
      <c r="E105" s="11">
        <f t="shared" si="57"/>
        <v>-0.15</v>
      </c>
      <c r="F105" s="13">
        <f t="shared" si="58"/>
        <v>0.15</v>
      </c>
      <c r="G105" s="13">
        <f t="shared" si="59"/>
        <v>-0.15</v>
      </c>
      <c r="H105" s="11">
        <f t="shared" ref="H105:H109" si="66">Q105-N105</f>
        <v>2.0249999999999999</v>
      </c>
      <c r="I105" s="11">
        <f t="shared" ref="I105:I109" si="67">Q105+N105</f>
        <v>2.3249999999999997</v>
      </c>
      <c r="J105" s="13">
        <f t="shared" si="62"/>
        <v>16.7</v>
      </c>
      <c r="K105" s="13">
        <f t="shared" si="63"/>
        <v>17</v>
      </c>
      <c r="L105" s="11">
        <f t="shared" si="64"/>
        <v>333.99999999999994</v>
      </c>
      <c r="M105" s="11">
        <f t="shared" si="64"/>
        <v>340</v>
      </c>
      <c r="N105" s="13">
        <v>0.15</v>
      </c>
      <c r="O105" s="11">
        <v>0</v>
      </c>
      <c r="P105" s="13">
        <v>0</v>
      </c>
      <c r="Q105" s="11">
        <v>2.1749999999999998</v>
      </c>
      <c r="R105" s="14">
        <f t="shared" si="65"/>
        <v>16.850000000000001</v>
      </c>
    </row>
    <row r="106" spans="2:18" x14ac:dyDescent="0.3">
      <c r="B106" s="34"/>
      <c r="C106" s="13" t="s">
        <v>42</v>
      </c>
      <c r="D106" s="11">
        <f t="shared" si="56"/>
        <v>0.25</v>
      </c>
      <c r="E106" s="11">
        <f t="shared" si="57"/>
        <v>-0.25</v>
      </c>
      <c r="F106" s="13">
        <f t="shared" si="58"/>
        <v>0.25</v>
      </c>
      <c r="G106" s="13">
        <f t="shared" si="59"/>
        <v>-0.25</v>
      </c>
      <c r="H106" s="11">
        <f t="shared" si="66"/>
        <v>3.4249999999999998</v>
      </c>
      <c r="I106" s="11">
        <f t="shared" si="67"/>
        <v>3.9249999999999998</v>
      </c>
      <c r="J106" s="13">
        <f t="shared" si="62"/>
        <v>18.100000000000001</v>
      </c>
      <c r="K106" s="13">
        <f t="shared" si="63"/>
        <v>18.600000000000001</v>
      </c>
      <c r="L106" s="11">
        <f t="shared" si="64"/>
        <v>362</v>
      </c>
      <c r="M106" s="11">
        <f t="shared" si="64"/>
        <v>372</v>
      </c>
      <c r="N106" s="13">
        <v>0.25</v>
      </c>
      <c r="O106" s="11">
        <v>0</v>
      </c>
      <c r="P106" s="13">
        <v>0</v>
      </c>
      <c r="Q106" s="11">
        <v>3.6749999999999998</v>
      </c>
      <c r="R106" s="14">
        <f t="shared" si="65"/>
        <v>18.350000000000001</v>
      </c>
    </row>
    <row r="107" spans="2:18" x14ac:dyDescent="0.3">
      <c r="B107" s="34"/>
      <c r="C107" s="13" t="s">
        <v>43</v>
      </c>
      <c r="D107" s="11">
        <f t="shared" si="56"/>
        <v>0.15</v>
      </c>
      <c r="E107" s="11">
        <f t="shared" si="57"/>
        <v>-0.15</v>
      </c>
      <c r="F107" s="13">
        <f t="shared" si="58"/>
        <v>0.15</v>
      </c>
      <c r="G107" s="13">
        <f t="shared" si="59"/>
        <v>-0.15</v>
      </c>
      <c r="H107" s="11">
        <f t="shared" si="66"/>
        <v>4.9249999999999998</v>
      </c>
      <c r="I107" s="11">
        <f t="shared" si="67"/>
        <v>5.2250000000000005</v>
      </c>
      <c r="J107" s="13">
        <f t="shared" si="62"/>
        <v>19.600000000000001</v>
      </c>
      <c r="K107" s="13">
        <f t="shared" si="63"/>
        <v>19.900000000000002</v>
      </c>
      <c r="L107" s="11">
        <f t="shared" si="64"/>
        <v>392</v>
      </c>
      <c r="M107" s="11">
        <f t="shared" si="64"/>
        <v>398</v>
      </c>
      <c r="N107" s="13">
        <v>0.15</v>
      </c>
      <c r="O107" s="11">
        <v>0</v>
      </c>
      <c r="P107" s="13">
        <v>0</v>
      </c>
      <c r="Q107" s="11">
        <v>5.0750000000000002</v>
      </c>
      <c r="R107" s="14">
        <f t="shared" si="65"/>
        <v>19.75</v>
      </c>
    </row>
    <row r="108" spans="2:18" x14ac:dyDescent="0.3">
      <c r="B108" s="34"/>
      <c r="C108" s="13" t="s">
        <v>44</v>
      </c>
      <c r="D108" s="11">
        <f t="shared" si="56"/>
        <v>0.25</v>
      </c>
      <c r="E108" s="11">
        <f t="shared" si="57"/>
        <v>-0.25</v>
      </c>
      <c r="F108" s="13">
        <f t="shared" si="58"/>
        <v>0.25</v>
      </c>
      <c r="G108" s="13">
        <f t="shared" si="59"/>
        <v>-0.25</v>
      </c>
      <c r="H108" s="11">
        <f t="shared" si="66"/>
        <v>6.3250000000000002</v>
      </c>
      <c r="I108" s="11">
        <f t="shared" si="67"/>
        <v>6.8250000000000002</v>
      </c>
      <c r="J108" s="13">
        <f t="shared" si="62"/>
        <v>21</v>
      </c>
      <c r="K108" s="13">
        <f t="shared" si="63"/>
        <v>21.5</v>
      </c>
      <c r="L108" s="11">
        <f t="shared" si="64"/>
        <v>420</v>
      </c>
      <c r="M108" s="11">
        <f t="shared" si="64"/>
        <v>430</v>
      </c>
      <c r="N108" s="13">
        <v>0.25</v>
      </c>
      <c r="O108" s="11">
        <v>0</v>
      </c>
      <c r="P108" s="13">
        <v>0</v>
      </c>
      <c r="Q108" s="11">
        <v>6.5750000000000002</v>
      </c>
      <c r="R108" s="14">
        <f t="shared" si="65"/>
        <v>21.25</v>
      </c>
    </row>
    <row r="109" spans="2:18" x14ac:dyDescent="0.3">
      <c r="B109" s="34"/>
      <c r="C109" s="13" t="s">
        <v>45</v>
      </c>
      <c r="D109" s="11">
        <f t="shared" si="56"/>
        <v>0.15</v>
      </c>
      <c r="E109" s="11">
        <f t="shared" si="57"/>
        <v>-0.15</v>
      </c>
      <c r="F109" s="13">
        <f t="shared" si="58"/>
        <v>0.15</v>
      </c>
      <c r="G109" s="13">
        <f t="shared" si="59"/>
        <v>-0.15</v>
      </c>
      <c r="H109" s="11">
        <f t="shared" si="66"/>
        <v>7.8249999999999993</v>
      </c>
      <c r="I109" s="11">
        <f t="shared" si="67"/>
        <v>8.125</v>
      </c>
      <c r="J109" s="13">
        <f t="shared" si="62"/>
        <v>22.5</v>
      </c>
      <c r="K109" s="13">
        <f t="shared" si="63"/>
        <v>22.8</v>
      </c>
      <c r="L109" s="11">
        <f t="shared" si="64"/>
        <v>450</v>
      </c>
      <c r="M109" s="11">
        <f t="shared" si="64"/>
        <v>456</v>
      </c>
      <c r="N109" s="13">
        <v>0.15</v>
      </c>
      <c r="O109" s="11">
        <v>0</v>
      </c>
      <c r="P109" s="13">
        <v>0</v>
      </c>
      <c r="Q109" s="11">
        <v>7.9749999999999996</v>
      </c>
      <c r="R109" s="14">
        <f t="shared" si="65"/>
        <v>22.65</v>
      </c>
    </row>
    <row r="110" spans="2:18" ht="15" thickBot="1" x14ac:dyDescent="0.35">
      <c r="B110" s="35"/>
      <c r="C110" s="15" t="s">
        <v>53</v>
      </c>
      <c r="D110" s="16" t="s">
        <v>18</v>
      </c>
      <c r="E110" s="16" t="s">
        <v>18</v>
      </c>
      <c r="F110" s="17" t="s">
        <v>18</v>
      </c>
      <c r="G110" s="17" t="s">
        <v>18</v>
      </c>
      <c r="H110" s="18">
        <v>11.175000000000001</v>
      </c>
      <c r="I110" s="18">
        <v>13.675000000000001</v>
      </c>
      <c r="J110" s="15">
        <v>25.85</v>
      </c>
      <c r="K110" s="15">
        <v>28.35</v>
      </c>
      <c r="L110" s="22">
        <f t="shared" si="64"/>
        <v>517</v>
      </c>
      <c r="M110" s="22">
        <f t="shared" si="64"/>
        <v>567</v>
      </c>
      <c r="N110" s="17" t="s">
        <v>18</v>
      </c>
      <c r="O110" s="16" t="s">
        <v>18</v>
      </c>
      <c r="P110" s="17" t="s">
        <v>18</v>
      </c>
      <c r="Q110" s="18">
        <v>12.425000000000001</v>
      </c>
      <c r="R110" s="19">
        <v>27.1</v>
      </c>
    </row>
    <row r="111" spans="2:18" ht="15" thickBot="1" x14ac:dyDescent="0.35">
      <c r="C111" s="28"/>
    </row>
    <row r="112" spans="2:18" ht="15.6" x14ac:dyDescent="0.3">
      <c r="B112" s="23"/>
      <c r="C112" s="25" t="s">
        <v>46</v>
      </c>
      <c r="D112" s="29" t="s">
        <v>54</v>
      </c>
      <c r="E112" s="29"/>
      <c r="F112" s="29"/>
      <c r="G112" s="29"/>
      <c r="H112" s="29"/>
      <c r="I112" s="29"/>
      <c r="J112" s="29"/>
      <c r="K112" s="29"/>
      <c r="L112" s="29"/>
      <c r="M112" s="29"/>
      <c r="N112" s="29"/>
      <c r="O112" s="29"/>
      <c r="P112" s="29"/>
      <c r="Q112" s="29"/>
      <c r="R112" s="30"/>
    </row>
    <row r="113" spans="2:18" ht="15.6" customHeight="1" x14ac:dyDescent="0.3">
      <c r="B113" s="24"/>
      <c r="D113" s="31" t="s">
        <v>55</v>
      </c>
      <c r="E113" s="31"/>
      <c r="F113" s="31"/>
      <c r="G113" s="31"/>
      <c r="H113" s="31"/>
      <c r="I113" s="31"/>
      <c r="J113" s="31"/>
      <c r="K113" s="31"/>
      <c r="L113" s="31"/>
      <c r="M113" s="31"/>
      <c r="N113" s="31"/>
      <c r="O113" s="31"/>
      <c r="P113" s="31"/>
      <c r="Q113" s="31"/>
      <c r="R113" s="32"/>
    </row>
    <row r="114" spans="2:18" ht="15.6" x14ac:dyDescent="0.3">
      <c r="B114" s="24"/>
      <c r="C114" s="25">
        <v>1</v>
      </c>
      <c r="D114" s="36" t="s">
        <v>47</v>
      </c>
      <c r="E114" s="36"/>
      <c r="F114" s="36"/>
      <c r="G114" s="36"/>
      <c r="H114" s="36"/>
      <c r="I114" s="36"/>
      <c r="J114" s="36"/>
      <c r="K114" s="36"/>
      <c r="L114" s="36"/>
      <c r="M114" s="36"/>
      <c r="N114" s="36"/>
      <c r="O114" s="36"/>
      <c r="P114" s="36"/>
      <c r="Q114" s="36"/>
      <c r="R114" s="37"/>
    </row>
    <row r="115" spans="2:18" ht="15.6" x14ac:dyDescent="0.3">
      <c r="B115" s="24"/>
      <c r="C115" s="25">
        <v>2</v>
      </c>
      <c r="D115" s="36" t="s">
        <v>48</v>
      </c>
      <c r="E115" s="36"/>
      <c r="F115" s="36"/>
      <c r="G115" s="36"/>
      <c r="H115" s="36"/>
      <c r="I115" s="36"/>
      <c r="J115" s="36"/>
      <c r="K115" s="36"/>
      <c r="L115" s="36"/>
      <c r="M115" s="36"/>
      <c r="N115" s="36"/>
      <c r="O115" s="36"/>
      <c r="P115" s="36"/>
      <c r="Q115" s="36"/>
      <c r="R115" s="37"/>
    </row>
    <row r="116" spans="2:18" ht="15" thickBot="1" x14ac:dyDescent="0.35">
      <c r="B116" s="26"/>
      <c r="C116" s="18"/>
      <c r="D116" s="18"/>
      <c r="E116" s="18"/>
      <c r="F116" s="18"/>
      <c r="G116" s="18"/>
      <c r="H116" s="18"/>
      <c r="I116" s="18"/>
      <c r="J116" s="18"/>
      <c r="K116" s="18"/>
      <c r="L116" s="18"/>
      <c r="M116" s="18"/>
      <c r="N116" s="18"/>
      <c r="O116" s="18"/>
      <c r="P116" s="18"/>
      <c r="Q116" s="18"/>
      <c r="R116" s="27"/>
    </row>
  </sheetData>
  <sheetProtection sheet="1" objects="1" scenarios="1"/>
  <mergeCells count="8">
    <mergeCell ref="B97:B110"/>
    <mergeCell ref="D114:R114"/>
    <mergeCell ref="D115:R115"/>
    <mergeCell ref="B23:B42"/>
    <mergeCell ref="B43:B62"/>
    <mergeCell ref="B63:B82"/>
    <mergeCell ref="B3:B22"/>
    <mergeCell ref="B83:B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defects_coordinates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Gianalberto Francesco Coldani</dc:creator>
  <cp:lastModifiedBy>Andrea Domini</cp:lastModifiedBy>
  <dcterms:created xsi:type="dcterms:W3CDTF">2025-09-02T10:15:09Z</dcterms:created>
  <dcterms:modified xsi:type="dcterms:W3CDTF">2026-02-12T20:48:38Z</dcterms:modified>
</cp:coreProperties>
</file>